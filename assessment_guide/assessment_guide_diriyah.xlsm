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44208" documentId="13_ncr:1_{4BDE2781-CD0A-497A-9C7D-0E0AB4510386}" xr6:coauthVersionLast="47" xr6:coauthVersionMax="47" xr10:uidLastSave="{E6CAE5E1-4CC4-4864-9239-EC7AA1B220D5}"/>
  <workbookProtection workbookAlgorithmName="SHA-512" workbookHashValue="gE0AO3dP8ULegQ/SLAQhGlDAAjIkyfIU6uAQN4ZfPAVjuiuSk2WdO0nHC0+VMvoLUXxeAF+8o+MkmD4uLzeACA==" workbookSaltValue="CpGkBDmyXHwgEIMffbDGaA==" workbookSpinCount="100000" lockStructure="1"/>
  <bookViews>
    <workbookView showSheetTabs="0" xWindow="28680" yWindow="-45" windowWidth="29040" windowHeight="15720" tabRatio="928" activeTab="15"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 Summary" sheetId="49" r:id="rId29"/>
    <sheet name="Log" sheetId="23" r:id="rId30"/>
    <sheet name="User" sheetId="6" r:id="rId31"/>
    <sheet name="Setting" sheetId="48" r:id="rId32"/>
    <sheet name="Login" sheetId="24" r:id="rId33"/>
  </sheets>
  <functionGroups builtInGroupCount="19"/>
  <definedNames>
    <definedName name="_xlnm._FilterDatabase" localSheetId="28" hidden="1">'Assessment 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6" i="23"/>
  <c r="A23" i="47" l="1"/>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9" i="44"/>
  <c r="A80" i="44"/>
  <c r="A78" i="44"/>
  <c r="A18" i="47"/>
  <c r="A19" i="47"/>
  <c r="A20" i="47"/>
  <c r="A21" i="47"/>
  <c r="A22" i="47"/>
  <c r="C6" i="30"/>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C17" i="34"/>
  <c r="D17" i="34" s="1"/>
  <c r="E17" i="34" s="1"/>
  <c r="C16" i="34"/>
  <c r="D16" i="34" s="1"/>
  <c r="E16" i="34" s="1"/>
  <c r="C15" i="34"/>
  <c r="D15" i="34" s="1"/>
  <c r="E15" i="34" s="1"/>
  <c r="M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C32" i="32"/>
  <c r="D32" i="32" s="1"/>
  <c r="E32" i="32" s="1"/>
  <c r="AF13" i="32"/>
  <c r="AD13" i="32"/>
  <c r="AF12" i="32"/>
  <c r="AD12" i="32"/>
  <c r="AF11" i="32"/>
  <c r="AD11" i="32"/>
  <c r="AF10" i="32"/>
  <c r="AD10" i="32"/>
  <c r="AB10" i="32"/>
  <c r="AF9" i="32"/>
  <c r="AE9" i="32"/>
  <c r="AD9" i="32"/>
  <c r="AC9" i="32"/>
  <c r="AB9" i="32"/>
  <c r="AF8" i="32"/>
  <c r="AE8" i="32"/>
  <c r="AD8" i="32"/>
  <c r="C6" i="32" s="1"/>
  <c r="D6" i="32" s="1"/>
  <c r="E6" i="32" s="1"/>
  <c r="AC8" i="32"/>
  <c r="AB8" i="32"/>
  <c r="AG7" i="32"/>
  <c r="C26" i="32" s="1"/>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C15" i="30"/>
  <c r="D15" i="30" s="1"/>
  <c r="E15" i="30" s="1"/>
  <c r="C13" i="30"/>
  <c r="D13" i="30" s="1"/>
  <c r="E13" i="30" s="1"/>
  <c r="M13" i="30" s="1"/>
  <c r="C12" i="30"/>
  <c r="D12" i="30" s="1"/>
  <c r="E12" i="30" s="1"/>
  <c r="C11" i="30"/>
  <c r="D11" i="30" s="1"/>
  <c r="E11" i="30" s="1"/>
  <c r="C10" i="30"/>
  <c r="D10" i="30" s="1"/>
  <c r="E10" i="30" s="1"/>
  <c r="M10" i="30" s="1"/>
  <c r="C8" i="30"/>
  <c r="D8" i="30" s="1"/>
  <c r="E8" i="30" s="1"/>
  <c r="D6" i="30"/>
  <c r="E6" i="30" s="1"/>
  <c r="M6" i="30" s="1"/>
  <c r="A3" i="30" a="1"/>
  <c r="A3" i="30" s="1"/>
  <c r="Z5" i="6" s="1"/>
  <c r="A3" i="29" a="1"/>
  <c r="A3" i="29" s="1"/>
  <c r="Y5" i="6" s="1"/>
  <c r="A77" i="44"/>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D82" i="28"/>
  <c r="E82" i="28" s="1"/>
  <c r="C82" i="28"/>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E69" i="28"/>
  <c r="D69" i="28"/>
  <c r="C69" i="28"/>
  <c r="E68" i="28"/>
  <c r="D68" i="28"/>
  <c r="C68" i="28"/>
  <c r="E67" i="28"/>
  <c r="D67" i="28"/>
  <c r="C67" i="28"/>
  <c r="C63" i="28"/>
  <c r="D63" i="28" s="1"/>
  <c r="E63" i="28" s="1"/>
  <c r="C61" i="28"/>
  <c r="D61" i="28" s="1"/>
  <c r="E61" i="28" s="1"/>
  <c r="C60" i="28"/>
  <c r="D60" i="28" s="1"/>
  <c r="E60" i="28" s="1"/>
  <c r="C58" i="28"/>
  <c r="D58" i="28" s="1"/>
  <c r="E58" i="28" s="1"/>
  <c r="C57" i="28"/>
  <c r="D57" i="28" s="1"/>
  <c r="E57" i="28" s="1"/>
  <c r="C56" i="28"/>
  <c r="D56" i="28" s="1"/>
  <c r="E56" i="28" s="1"/>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C40" i="28"/>
  <c r="D40" i="28" s="1"/>
  <c r="E40" i="28" s="1"/>
  <c r="C39" i="28"/>
  <c r="D39" i="28" s="1"/>
  <c r="E39" i="28" s="1"/>
  <c r="C37" i="28"/>
  <c r="D37" i="28" s="1"/>
  <c r="E37" i="28" s="1"/>
  <c r="C36" i="28"/>
  <c r="D36" i="28" s="1"/>
  <c r="E36" i="28" s="1"/>
  <c r="C35" i="28"/>
  <c r="D35" i="28" s="1"/>
  <c r="E35" i="28" s="1"/>
  <c r="C33" i="28"/>
  <c r="D33" i="28" s="1"/>
  <c r="E33" i="28" s="1"/>
  <c r="D32" i="28"/>
  <c r="E32" i="28" s="1"/>
  <c r="C32" i="28"/>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C6" i="28"/>
  <c r="D6" i="28" s="1"/>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M44" i="26"/>
  <c r="E44" i="26"/>
  <c r="D44" i="26"/>
  <c r="C44" i="26"/>
  <c r="Q42" i="26"/>
  <c r="M42" i="26"/>
  <c r="E42" i="26"/>
  <c r="D42" i="26"/>
  <c r="C42" i="26"/>
  <c r="E40" i="26"/>
  <c r="D40" i="26"/>
  <c r="C40" i="26"/>
  <c r="E39" i="26"/>
  <c r="D39" i="26"/>
  <c r="C39" i="26"/>
  <c r="E37" i="26"/>
  <c r="D37" i="26"/>
  <c r="C37" i="26"/>
  <c r="E36" i="26"/>
  <c r="D36" i="26"/>
  <c r="C36" i="26"/>
  <c r="E34" i="26"/>
  <c r="D34" i="26"/>
  <c r="C34" i="26"/>
  <c r="M33" i="26"/>
  <c r="E33" i="26"/>
  <c r="D33" i="26"/>
  <c r="C33" i="26"/>
  <c r="E32" i="26"/>
  <c r="D32" i="26"/>
  <c r="C32" i="26"/>
  <c r="Q31" i="26"/>
  <c r="M31" i="26"/>
  <c r="E31" i="26"/>
  <c r="D31" i="26"/>
  <c r="C31" i="26"/>
  <c r="E30" i="26"/>
  <c r="D30" i="26"/>
  <c r="C30" i="26"/>
  <c r="E29" i="26"/>
  <c r="D29" i="26"/>
  <c r="C29" i="26"/>
  <c r="E28" i="26"/>
  <c r="D28" i="26"/>
  <c r="C28" i="26"/>
  <c r="E26" i="26"/>
  <c r="D26" i="26"/>
  <c r="C26" i="26"/>
  <c r="E25" i="26"/>
  <c r="D25" i="26"/>
  <c r="C25" i="26"/>
  <c r="Q24" i="26"/>
  <c r="M24" i="26"/>
  <c r="E24" i="26"/>
  <c r="D24" i="26"/>
  <c r="C24" i="26"/>
  <c r="E23" i="26"/>
  <c r="D23" i="26"/>
  <c r="C23" i="26"/>
  <c r="E21" i="26"/>
  <c r="D21" i="26"/>
  <c r="C21" i="26"/>
  <c r="E20" i="26"/>
  <c r="D20" i="26"/>
  <c r="C20" i="26"/>
  <c r="E19" i="26"/>
  <c r="D19" i="26"/>
  <c r="C19" i="26"/>
  <c r="Q17" i="26"/>
  <c r="M17" i="26"/>
  <c r="E17" i="26"/>
  <c r="D17" i="26"/>
  <c r="C17" i="26"/>
  <c r="E15" i="26"/>
  <c r="D15" i="26"/>
  <c r="C15" i="26"/>
  <c r="E13" i="26"/>
  <c r="D13" i="26"/>
  <c r="C13" i="26"/>
  <c r="M11" i="26"/>
  <c r="E11" i="26"/>
  <c r="D11" i="26"/>
  <c r="C11" i="26"/>
  <c r="E10" i="26"/>
  <c r="D10" i="26"/>
  <c r="C10" i="26"/>
  <c r="E9" i="26"/>
  <c r="D9" i="26"/>
  <c r="C9" i="26"/>
  <c r="E8" i="26"/>
  <c r="D8" i="26"/>
  <c r="C8" i="26"/>
  <c r="Q6" i="26"/>
  <c r="M6" i="26"/>
  <c r="E6" i="26"/>
  <c r="D6" i="26"/>
  <c r="C6" i="26"/>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E28" i="3"/>
  <c r="D28" i="3"/>
  <c r="C28" i="3"/>
  <c r="E27" i="3"/>
  <c r="D27" i="3"/>
  <c r="C27" i="3"/>
  <c r="E26" i="3"/>
  <c r="D26" i="3"/>
  <c r="C26" i="3"/>
  <c r="C24" i="3"/>
  <c r="D24" i="3" s="1"/>
  <c r="E24" i="3" s="1"/>
  <c r="M24" i="3" s="1"/>
  <c r="Q20" i="3" s="1"/>
  <c r="E23" i="3"/>
  <c r="D23" i="3"/>
  <c r="C23" i="3"/>
  <c r="E22" i="3"/>
  <c r="D22" i="3"/>
  <c r="C22" i="3"/>
  <c r="E21" i="3"/>
  <c r="D21" i="3"/>
  <c r="C21" i="3"/>
  <c r="M20" i="3"/>
  <c r="E20" i="3"/>
  <c r="D20" i="3"/>
  <c r="C20" i="3"/>
  <c r="E19" i="3"/>
  <c r="D19" i="3"/>
  <c r="C19" i="3"/>
  <c r="E18" i="3"/>
  <c r="D18" i="3"/>
  <c r="C18" i="3"/>
  <c r="C17" i="3"/>
  <c r="D17" i="3" s="1"/>
  <c r="E17" i="3" s="1"/>
  <c r="M17" i="3" s="1"/>
  <c r="C14" i="3"/>
  <c r="D14" i="3" s="1"/>
  <c r="E14" i="3" s="1"/>
  <c r="C12" i="3"/>
  <c r="D12" i="3" s="1"/>
  <c r="E12" i="3" s="1"/>
  <c r="C10" i="3"/>
  <c r="D10" i="3" s="1"/>
  <c r="E10" i="3" s="1"/>
  <c r="C8" i="3"/>
  <c r="D8" i="3" s="1"/>
  <c r="E8" i="3" s="1"/>
  <c r="M6" i="3" s="1"/>
  <c r="E6" i="3"/>
  <c r="D6" i="3"/>
  <c r="C6"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M36" i="28" l="1"/>
  <c r="M74" i="28"/>
  <c r="M56" i="28"/>
  <c r="M49" i="28"/>
  <c r="M40" i="28"/>
  <c r="M22" i="28"/>
  <c r="Q22" i="28" s="1"/>
  <c r="M16" i="28"/>
  <c r="M6" i="28"/>
  <c r="C40" i="32"/>
  <c r="D40" i="32" s="1"/>
  <c r="E40" i="32" s="1"/>
  <c r="C28" i="32"/>
  <c r="D28" i="32" s="1"/>
  <c r="E28" i="32" s="1"/>
  <c r="M28" i="32" s="1"/>
  <c r="M9" i="34"/>
  <c r="Q6" i="34" s="1"/>
  <c r="Q6" i="30"/>
  <c r="C36" i="32"/>
  <c r="D36" i="32" s="1"/>
  <c r="E36" i="32" s="1"/>
  <c r="C22" i="32"/>
  <c r="D22" i="32" s="1"/>
  <c r="E22" i="32" s="1"/>
  <c r="C14" i="32"/>
  <c r="D14" i="32" s="1"/>
  <c r="E14" i="32" s="1"/>
  <c r="M10" i="3"/>
  <c r="Q6" i="3" s="1"/>
  <c r="M36" i="32" l="1"/>
  <c r="Q6" i="28"/>
  <c r="Q40" i="28"/>
  <c r="Q56" i="28"/>
  <c r="M6" i="32"/>
  <c r="Q6" i="3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<sst xmlns="http://schemas.openxmlformats.org/spreadsheetml/2006/main" count="4572" uniqueCount="1810">
  <si>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</si>
  <si>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</si>
  <si>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</si>
  <si>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</si>
  <si>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</si>
  <si>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</si>
  <si>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</si>
  <si>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</si>
  <si>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</si>
  <si>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</si>
  <si>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</si>
  <si>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</si>
  <si>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</si>
  <si>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</si>
  <si>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</si>
  <si>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</si>
  <si>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</si>
  <si>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</si>
  <si>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</si>
  <si>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</si>
  <si>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</si>
  <si>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</si>
  <si>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</si>
  <si>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</si>
  <si>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</si>
  <si>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</si>
  <si>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</si>
  <si>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</si>
  <si>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</si>
  <si>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</si>
  <si>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</si>
  <si>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</si>
  <si>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</si>
  <si>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</si>
  <si>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</si>
  <si>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</si>
  <si>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</si>
  <si>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</si>
  <si>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</si>
  <si>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</si>
  <si>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</si>
  <si>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</si>
  <si>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</si>
  <si>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</si>
  <si>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</si>
  <si>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</si>
  <si>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</si>
  <si>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</si>
  <si>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</si>
  <si>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</si>
  <si>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</si>
  <si>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</si>
  <si>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</si>
  <si>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</si>
  <si>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</si>
  <si>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</si>
  <si>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</si>
  <si>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</si>
  <si>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</si>
  <si>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</si>
  <si>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</si>
  <si>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</si>
  <si>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</si>
  <si>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</si>
  <si>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</si>
  <si>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</si>
  <si>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</si>
  <si>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</si>
  <si>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</si>
  <si>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</si>
  <si>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</si>
  <si>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</si>
  <si>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</si>
  <si>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</si>
  <si>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</si>
  <si>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</si>
  <si>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</si>
  <si>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</si>
  <si>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</si>
  <si>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</si>
  <si>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</si>
  <si>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</si>
  <si>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</si>
  <si>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</si>
  <si>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</si>
  <si>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</si>
  <si>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</si>
  <si>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</si>
  <si>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</si>
  <si>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</si>
  <si>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</si>
  <si>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</si>
  <si>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</si>
  <si>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</si>
  <si>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</si>
  <si>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</si>
  <si>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</si>
  <si>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</si>
  <si>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</si>
  <si>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</si>
  <si>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</si>
  <si>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</si>
  <si>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</si>
  <si>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</si>
  <si>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</si>
  <si>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</si>
  <si>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</si>
  <si>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</si>
  <si>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</si>
  <si>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</si>
  <si>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</si>
  <si>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</si>
  <si>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</si>
  <si>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</si>
  <si>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</si>
  <si>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</si>
  <si>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</si>
  <si>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</si>
  <si>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</si>
  <si>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</si>
  <si>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</si>
  <si>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</si>
  <si>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</si>
  <si>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</si>
  <si>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</si>
  <si>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</si>
  <si>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</si>
  <si>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</si>
  <si>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</si>
  <si>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</si>
  <si>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</si>
  <si>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</si>
  <si>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</si>
  <si>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</si>
  <si>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</si>
  <si>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</si>
  <si>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</si>
  <si>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</si>
  <si>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</si>
  <si>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</si>
  <si>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</si>
  <si>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</si>
  <si>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</si>
  <si>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</si>
  <si>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</si>
  <si>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</si>
  <si>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</si>
  <si>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</si>
  <si>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</si>
  <si>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</si>
  <si>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</si>
  <si>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</si>
  <si>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</si>
  <si>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</si>
  <si>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</si>
  <si>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</si>
  <si>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</si>
  <si>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</si>
  <si>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</si>
  <si>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</si>
  <si>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</si>
  <si>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</si>
  <si>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</si>
  <si>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</si>
  <si>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</si>
  <si>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</si>
  <si>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</si>
  <si>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</si>
  <si>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</si>
  <si>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</si>
  <si>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</si>
  <si>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</si>
  <si>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</si>
  <si>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</si>
  <si>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</si>
  <si>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</si>
  <si>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</si>
  <si>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</si>
  <si>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</si>
  <si>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</si>
  <si>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</si>
  <si>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</si>
  <si>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</si>
  <si>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</si>
  <si>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</si>
  <si>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</si>
  <si>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</si>
  <si>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</si>
  <si>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</si>
  <si>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</si>
  <si>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</si>
  <si>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</si>
  <si>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</si>
  <si>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</si>
  <si>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</si>
  <si>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</si>
  <si>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</si>
  <si>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</si>
  <si>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</si>
  <si>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</si>
  <si>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</si>
  <si>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</si>
  <si>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</si>
  <si>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</si>
  <si>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</si>
  <si>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</si>
  <si>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</si>
  <si>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</si>
  <si>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</si>
  <si>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</si>
  <si>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</si>
  <si>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</si>
  <si>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</si>
  <si>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</si>
  <si>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</si>
  <si>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</si>
  <si>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</si>
  <si>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</si>
  <si>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</si>
  <si>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</si>
  <si>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</si>
  <si>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</si>
  <si>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</si>
  <si>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</si>
  <si>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</si>
  <si>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</si>
  <si>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</si>
  <si>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</si>
  <si>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</si>
  <si>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</si>
  <si>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</si>
  <si>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</si>
  <si>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</si>
  <si>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</si>
  <si>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</si>
  <si>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</si>
  <si>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</si>
  <si>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</si>
  <si>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</si>
  <si>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</si>
  <si>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</si>
  <si>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</si>
  <si>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</si>
  <si>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</si>
  <si>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</si>
  <si>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</si>
  <si>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</si>
  <si>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</si>
  <si>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</si>
  <si>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</si>
  <si>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</si>
  <si>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</si>
  <si>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</si>
  <si>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</si>
  <si>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</si>
  <si>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</si>
  <si>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</si>
  <si>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</si>
  <si>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</si>
  <si>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</si>
  <si>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</si>
  <si>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</si>
  <si>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</si>
  <si>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</si>
  <si>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</si>
  <si>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</si>
  <si>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</si>
  <si>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</si>
  <si>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</si>
  <si>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</si>
  <si>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</si>
  <si>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</si>
  <si>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</si>
  <si>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</si>
  <si>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</si>
  <si>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</si>
  <si>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</si>
  <si>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</si>
  <si>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</si>
  <si>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</si>
  <si>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</si>
  <si>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</si>
  <si>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</si>
  <si>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</si>
  <si>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</si>
  <si>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</si>
  <si>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</si>
  <si>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</si>
  <si>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</si>
  <si>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</si>
  <si>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</si>
  <si>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</si>
  <si>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</si>
  <si>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</si>
  <si>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</si>
  <si>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</si>
  <si>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</si>
  <si>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</si>
  <si>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</si>
  <si>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</si>
  <si>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</si>
  <si>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</si>
  <si>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</si>
  <si>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</si>
  <si>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</si>
  <si>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</si>
  <si>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</si>
  <si>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</si>
  <si>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</si>
  <si>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</si>
  <si>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</si>
  <si>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</si>
  <si>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</si>
  <si>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</si>
  <si>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</si>
  <si>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</si>
  <si>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</si>
  <si>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</si>
  <si>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</si>
  <si>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</si>
  <si>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</si>
  <si>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</si>
  <si>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</si>
  <si>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</si>
  <si>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</si>
  <si>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</si>
  <si>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</si>
  <si>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</si>
  <si>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</si>
  <si>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</si>
  <si>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</si>
  <si>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</si>
  <si>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</si>
  <si>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</si>
  <si>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</si>
  <si>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</si>
  <si>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</si>
  <si>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</si>
  <si>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</si>
  <si>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</si>
  <si>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</si>
  <si>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</si>
  <si>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</si>
  <si>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</si>
  <si>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</si>
  <si>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</si>
  <si>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</si>
  <si>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</si>
  <si>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</si>
  <si>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</si>
  <si>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</si>
  <si>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</si>
  <si>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</si>
  <si>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</si>
  <si>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</si>
  <si>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</si>
  <si>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</si>
  <si>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</si>
  <si>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</si>
  <si>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</si>
  <si>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</si>
  <si>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</si>
  <si>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</si>
  <si>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</si>
  <si>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</si>
  <si>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</si>
  <si>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</si>
  <si>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</si>
  <si>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</si>
  <si>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</si>
  <si>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</si>
  <si>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</si>
  <si>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</si>
  <si>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</si>
  <si>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</si>
  <si>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</si>
  <si>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</si>
  <si>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</si>
  <si>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</si>
  <si>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</si>
  <si>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</si>
  <si>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</si>
  <si>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</si>
  <si>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</si>
  <si>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</si>
  <si>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</si>
  <si>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</si>
  <si>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</si>
  <si>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</si>
  <si>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</si>
  <si>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</si>
  <si>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</si>
  <si>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</si>
  <si>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</si>
  <si>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</si>
  <si>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</si>
  <si>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</si>
  <si>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</si>
  <si>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</si>
  <si>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</si>
  <si>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</si>
  <si>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</si>
  <si>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</si>
  <si>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</si>
  <si>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</si>
  <si>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</si>
  <si>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</si>
  <si>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</si>
  <si>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</si>
  <si>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</si>
  <si>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</si>
  <si>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</si>
  <si>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</si>
  <si>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</si>
  <si>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</si>
  <si>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</si>
  <si>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</si>
  <si>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</si>
  <si>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</si>
  <si>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</si>
  <si>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</si>
  <si>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</si>
  <si>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</si>
  <si>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</si>
  <si>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</si>
  <si>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</si>
  <si>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</si>
  <si>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</si>
  <si>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</si>
  <si>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</si>
  <si>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</si>
  <si>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</si>
  <si>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</si>
  <si>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</si>
  <si>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</si>
  <si>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</si>
  <si>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</si>
  <si>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</si>
  <si>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</si>
  <si>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</si>
  <si>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</si>
  <si>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</si>
  <si>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</si>
  <si>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</si>
  <si>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</si>
  <si>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</si>
  <si>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</si>
  <si>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</si>
  <si>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</si>
  <si>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</si>
  <si>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</si>
  <si>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</si>
  <si>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</si>
  <si>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</si>
  <si>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</si>
  <si>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</si>
  <si>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</si>
  <si>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</si>
  <si>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</si>
  <si>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</si>
  <si>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</si>
  <si>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</si>
  <si>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</si>
  <si>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</si>
  <si>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</si>
  <si>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</si>
  <si>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</si>
  <si>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</si>
  <si>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</si>
  <si>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</si>
  <si>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</si>
  <si>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</si>
  <si>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</si>
  <si>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</si>
  <si>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</si>
  <si>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</si>
  <si>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</si>
  <si>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</si>
  <si>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</si>
  <si>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</si>
  <si>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</si>
  <si>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</si>
  <si>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</si>
  <si>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</si>
  <si>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</si>
  <si>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</si>
  <si>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</si>
  <si>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</si>
  <si>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</si>
  <si>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</si>
  <si>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</si>
  <si>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</si>
  <si>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</si>
  <si>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</si>
  <si>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</si>
  <si>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</si>
  <si>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</si>
  <si>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</si>
  <si>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</si>
  <si>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</si>
  <si>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</si>
  <si>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</si>
  <si>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</si>
  <si>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</si>
  <si>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</si>
  <si>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</si>
  <si>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</si>
  <si>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</si>
  <si>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</si>
  <si>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</si>
  <si>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</si>
  <si>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</si>
  <si>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</si>
  <si>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</si>
  <si>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</si>
  <si>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</si>
  <si>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</si>
  <si>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</si>
  <si>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</si>
  <si>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</si>
  <si>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</si>
  <si>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</si>
  <si>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</si>
  <si>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</si>
  <si>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</si>
  <si>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</si>
  <si>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</si>
  <si>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</si>
  <si>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</si>
  <si>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</si>
  <si>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</si>
  <si>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</si>
  <si>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</si>
  <si>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</si>
  <si>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</si>
  <si>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</si>
  <si>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</si>
  <si>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</si>
  <si>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</si>
  <si>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</si>
  <si>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</si>
  <si>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</si>
  <si>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</si>
  <si>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</si>
  <si>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</si>
  <si>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</si>
  <si>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</si>
  <si>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</si>
  <si>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</si>
  <si>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</si>
  <si>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</si>
  <si>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</si>
  <si>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</si>
  <si>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</si>
  <si>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</si>
  <si>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</si>
  <si>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</si>
  <si>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</si>
  <si>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</si>
  <si>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</si>
  <si>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</si>
  <si>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</si>
  <si>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</si>
  <si>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</si>
  <si>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</si>
  <si>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</si>
  <si>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</si>
  <si>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</si>
  <si>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</si>
  <si>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</si>
  <si>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</si>
  <si>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</si>
  <si>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</si>
  <si>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</si>
  <si>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</si>
  <si>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</si>
  <si>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</si>
  <si>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</si>
  <si>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</si>
  <si>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</si>
  <si>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</si>
  <si>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</si>
  <si>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</si>
  <si>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</si>
  <si>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</si>
  <si>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</si>
  <si>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</si>
  <si>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</si>
  <si>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</si>
  <si>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</si>
  <si>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</si>
  <si>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</si>
  <si>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</si>
  <si>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</si>
  <si>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</si>
  <si>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</si>
  <si>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</si>
  <si>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</si>
  <si>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</si>
  <si>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</si>
  <si>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</si>
  <si>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</si>
  <si>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</si>
  <si>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</si>
  <si>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</si>
  <si>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</si>
  <si>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</si>
  <si>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</si>
  <si>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</si>
  <si>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</si>
  <si>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</si>
  <si>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</si>
  <si>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</si>
  <si>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</si>
  <si>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</si>
  <si>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</si>
  <si>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</si>
  <si>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</si>
  <si>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</si>
  <si>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</si>
  <si>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</si>
  <si>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</si>
  <si>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</si>
  <si>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</si>
  <si>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</si>
  <si>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</si>
  <si>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</si>
  <si>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</si>
  <si>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</si>
  <si>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</si>
  <si>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</si>
  <si>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</si>
  <si>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</si>
  <si>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</si>
  <si>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</si>
  <si>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</si>
  <si>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</si>
  <si>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</si>
  <si>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</si>
  <si>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</si>
  <si>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</si>
  <si>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</si>
  <si>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</si>
  <si>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</si>
  <si>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</si>
  <si>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</si>
  <si>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</si>
  <si>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</si>
  <si>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</si>
  <si>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</si>
  <si>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</si>
  <si>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</si>
  <si>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</si>
  <si>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</si>
  <si>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</si>
  <si>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</si>
  <si>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</si>
  <si>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</si>
  <si>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</si>
  <si>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</si>
  <si>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</si>
  <si>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</si>
  <si>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</si>
  <si>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</si>
  <si>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</si>
  <si>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</si>
  <si>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</si>
  <si>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</si>
  <si>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</si>
  <si>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</si>
  <si>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</si>
  <si>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</si>
  <si>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</si>
  <si>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</si>
  <si>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</si>
  <si>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</si>
  <si>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</si>
  <si>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</si>
  <si>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</si>
  <si>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</si>
  <si>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</si>
  <si>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</si>
  <si>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</si>
  <si>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</si>
  <si>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</si>
  <si>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</si>
  <si>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</si>
  <si>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</si>
  <si>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</si>
  <si>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</si>
  <si>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</si>
  <si>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</si>
  <si>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</si>
  <si>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</si>
  <si>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</si>
  <si>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</si>
  <si>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</si>
  <si>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</si>
  <si>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</si>
  <si>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</si>
  <si>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</si>
  <si>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</si>
  <si>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</si>
  <si>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</si>
  <si>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</si>
  <si>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</si>
  <si>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</si>
  <si>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</si>
  <si>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</si>
  <si>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</si>
  <si>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</si>
  <si>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</si>
  <si>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</si>
  <si>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</si>
  <si>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</si>
  <si>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</si>
  <si>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</si>
  <si>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</si>
  <si>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</si>
  <si>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</si>
  <si>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</si>
  <si>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</si>
  <si>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</si>
  <si>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</si>
  <si>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</si>
  <si>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</si>
  <si>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</si>
  <si>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</si>
  <si>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</si>
  <si>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</si>
  <si>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</si>
  <si>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</si>
  <si>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</si>
  <si>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</si>
  <si>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</si>
  <si>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</si>
  <si>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</si>
  <si>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</si>
  <si>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</si>
  <si>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</si>
  <si>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</si>
  <si>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</si>
  <si>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</si>
  <si>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</si>
  <si>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</si>
  <si>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</si>
  <si>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</si>
  <si>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</si>
  <si>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</si>
  <si>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</si>
  <si>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</si>
  <si>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</si>
  <si>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</si>
  <si>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</si>
  <si>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</si>
  <si>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</si>
  <si>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</si>
  <si>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</si>
  <si>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</si>
  <si>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</si>
  <si>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</si>
  <si>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</si>
  <si>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</si>
  <si>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</si>
  <si>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</si>
  <si>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</si>
  <si>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</si>
  <si>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</si>
  <si>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</si>
  <si>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</si>
  <si>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</si>
  <si>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</si>
  <si>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</si>
  <si>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</si>
  <si>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</si>
  <si>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</si>
  <si>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</si>
  <si>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</si>
  <si>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</si>
  <si>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</si>
  <si>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</si>
  <si>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</si>
  <si>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</si>
  <si>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</si>
  <si>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</si>
  <si>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</si>
  <si>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</si>
  <si>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</si>
  <si>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</si>
  <si>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</si>
  <si>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</si>
  <si>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</si>
  <si>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</si>
  <si>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</si>
  <si>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</si>
  <si>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</si>
  <si>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</si>
  <si>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</si>
  <si>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</si>
  <si>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</si>
  <si>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</si>
  <si>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</si>
  <si>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</si>
  <si>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</si>
  <si>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</si>
  <si>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</si>
  <si>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</si>
  <si>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</si>
  <si>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</si>
  <si>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</si>
  <si>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</si>
  <si>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</si>
  <si>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</si>
  <si>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</si>
  <si>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</si>
  <si>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</si>
  <si>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</si>
  <si>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</si>
  <si>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</si>
  <si>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</si>
  <si>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</si>
  <si>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</si>
  <si>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</si>
  <si>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</si>
  <si>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</si>
  <si>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</si>
  <si>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</si>
  <si>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</si>
  <si>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</si>
  <si>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</si>
  <si>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</si>
  <si>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</si>
  <si>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</si>
  <si>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</si>
  <si>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</si>
  <si>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</si>
  <si>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</si>
  <si>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</si>
  <si>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</si>
  <si>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</si>
  <si>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</si>
  <si>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</si>
  <si>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</si>
  <si>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</si>
  <si>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</si>
  <si>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</si>
  <si>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</si>
  <si>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</si>
  <si>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</si>
  <si>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</si>
  <si>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</si>
  <si>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</si>
  <si>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</si>
  <si>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</si>
  <si>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</si>
  <si>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</si>
  <si>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</si>
  <si>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</si>
  <si>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</si>
  <si>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</si>
  <si>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</si>
  <si>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</si>
  <si>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</si>
  <si>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</si>
  <si>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</si>
  <si>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</si>
  <si>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</si>
  <si>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</si>
  <si>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</si>
  <si>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</si>
  <si>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</si>
  <si>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</si>
  <si>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</si>
  <si>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</si>
  <si>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</si>
  <si>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</si>
  <si>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</si>
  <si>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</si>
  <si>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</si>
  <si>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</si>
  <si>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</si>
  <si>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</si>
  <si>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</si>
  <si>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</si>
  <si>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</si>
  <si>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</si>
  <si>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</si>
  <si>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</si>
  <si>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</si>
  <si>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</si>
  <si>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</si>
  <si>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</si>
  <si>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</si>
  <si>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</si>
  <si>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</si>
  <si>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</si>
  <si>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</si>
  <si>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</si>
  <si>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</si>
  <si>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</si>
  <si>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</si>
  <si>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</si>
  <si>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</si>
  <si>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</si>
  <si>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</si>
  <si>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</si>
  <si>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</si>
  <si>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</si>
  <si>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</si>
  <si>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</si>
  <si>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</si>
  <si>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</si>
  <si>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</si>
  <si>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</si>
  <si>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</si>
  <si>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</si>
  <si>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</si>
  <si>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</si>
  <si>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</si>
  <si>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</si>
  <si>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</si>
  <si>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</si>
  <si>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</si>
  <si>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</si>
  <si>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</si>
  <si>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</si>
  <si>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</si>
  <si>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</si>
  <si>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</si>
  <si>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</si>
  <si>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</si>
  <si>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</si>
  <si>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</si>
  <si>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</si>
  <si>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</si>
  <si>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</si>
  <si>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</si>
  <si>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</si>
  <si>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</si>
  <si>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</si>
  <si>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</si>
  <si>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</si>
  <si>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</si>
  <si>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</si>
  <si>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</si>
  <si>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</si>
  <si>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</si>
  <si>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</si>
  <si>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</si>
  <si>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</si>
  <si>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</si>
  <si>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</si>
  <si>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</si>
  <si>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</si>
  <si>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</si>
  <si>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</si>
  <si>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</si>
  <si>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</si>
  <si>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</si>
  <si>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</si>
  <si>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</si>
  <si>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</si>
  <si>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</si>
  <si>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</si>
  <si>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</si>
  <si>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</si>
  <si>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</si>
  <si>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</si>
  <si>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</si>
  <si>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</si>
  <si>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</si>
  <si>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</si>
  <si>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</si>
  <si>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</si>
  <si>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</si>
  <si>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</si>
  <si>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</si>
  <si>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</si>
  <si>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</si>
  <si>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</si>
  <si>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</si>
  <si>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</si>
  <si>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</si>
  <si>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</si>
  <si>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</si>
  <si>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</si>
  <si>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</si>
  <si>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</si>
  <si>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</si>
  <si>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</si>
  <si>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</si>
  <si>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</si>
  <si>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</si>
  <si>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</si>
  <si>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</si>
  <si>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</si>
  <si>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</si>
  <si>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</si>
  <si>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</si>
  <si>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</si>
  <si>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</si>
  <si>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</si>
  <si>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</si>
  <si>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</si>
  <si>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</si>
  <si>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</si>
  <si>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</si>
  <si>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</si>
  <si>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</si>
  <si>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</si>
  <si>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</si>
  <si>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</si>
  <si>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</si>
  <si>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</si>
  <si>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</si>
  <si>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</si>
  <si>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</si>
  <si>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</si>
  <si>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</si>
  <si>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</si>
  <si>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</si>
  <si>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</si>
  <si>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</si>
  <si>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</si>
  <si>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</si>
  <si>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</si>
  <si>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</si>
  <si>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</si>
  <si>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</si>
  <si>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</si>
  <si>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</si>
  <si>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</si>
  <si>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</si>
  <si>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</si>
  <si>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</si>
  <si>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</si>
  <si>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</si>
  <si>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</si>
  <si>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</si>
  <si>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</si>
  <si>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</si>
  <si>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</si>
  <si>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</si>
  <si>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</si>
  <si>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</si>
  <si>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</si>
  <si>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</si>
  <si>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</si>
  <si>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</si>
  <si>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</si>
  <si>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</si>
  <si>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</si>
  <si>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</si>
  <si>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</si>
  <si>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</si>
  <si>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</si>
  <si>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</si>
  <si>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</si>
  <si>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</si>
  <si>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</si>
  <si>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</si>
  <si>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</si>
  <si>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</si>
  <si>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</si>
  <si>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</si>
  <si>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</si>
  <si>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</si>
  <si>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</si>
  <si>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</si>
  <si>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</si>
  <si>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</si>
  <si>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</si>
  <si>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</si>
  <si>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</si>
  <si>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</si>
  <si>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</si>
  <si>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</si>
  <si>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</si>
  <si>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</si>
  <si>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</si>
  <si>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</si>
  <si>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</si>
  <si>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</si>
  <si>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</si>
  <si>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</si>
  <si>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</si>
  <si>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</si>
  <si>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</si>
  <si>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</si>
  <si>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</si>
  <si>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</si>
  <si>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</si>
  <si>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</si>
  <si>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</si>
  <si>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</si>
  <si>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</si>
  <si>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</si>
  <si>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</si>
  <si>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</si>
  <si>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</si>
  <si>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</si>
  <si>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</si>
  <si>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</si>
  <si>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</si>
  <si>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</si>
  <si>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</si>
  <si>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</si>
  <si>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</si>
  <si>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review requests</t>
  </si>
  <si>
    <t>Number of As-built reviews / approvals / Number of As-Built review requests</t>
  </si>
  <si>
    <t>Number of As-built reviews / approvals</t>
  </si>
  <si>
    <t>MIR Inspection Rate</t>
  </si>
  <si>
    <t>Total number of MIRs requested</t>
  </si>
  <si>
    <t>Number of MIR Inspected / Total number of MIRs requested</t>
  </si>
  <si>
    <t>Total number of MIRs inspected</t>
  </si>
  <si>
    <t>MIR Acceptance and Approval Rate</t>
  </si>
  <si>
    <t>Total number of MIRs approved / rejected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</si>
  <si>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</si>
  <si>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</si>
  <si>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</si>
  <si>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</si>
  <si>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</si>
  <si>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</si>
  <si>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 / rejected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</si>
  <si>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</si>
  <si>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</si>
  <si>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</si>
  <si>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</si>
  <si>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</si>
  <si>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</si>
  <si>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</si>
  <si>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</si>
  <si>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</si>
  <si>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</si>
  <si>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</si>
  <si>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</si>
  <si>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</si>
  <si>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</si>
  <si>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</si>
  <si>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</si>
  <si>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</si>
  <si>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</si>
  <si>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</si>
  <si>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</si>
  <si>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</si>
  <si>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</si>
  <si>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</si>
  <si>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</si>
  <si>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</si>
  <si>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</si>
  <si>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</si>
  <si>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</si>
  <si>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</si>
  <si>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</si>
  <si>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</si>
  <si>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</si>
  <si>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</si>
  <si>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</si>
  <si>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</si>
  <si>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</si>
  <si>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</si>
  <si>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</si>
  <si>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</si>
  <si>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</si>
  <si>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</si>
  <si>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</si>
  <si>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</si>
  <si>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</si>
  <si>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</si>
  <si>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</si>
  <si>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</si>
  <si>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</si>
  <si>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</si>
  <si>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</si>
  <si>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</si>
  <si>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</si>
  <si>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</si>
  <si>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</si>
  <si>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</si>
  <si>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</si>
  <si>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</si>
  <si>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</si>
  <si>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</si>
  <si>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</si>
  <si>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</si>
  <si>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</si>
  <si>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</si>
  <si>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</si>
  <si>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</si>
  <si>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</si>
  <si>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</si>
  <si>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</si>
  <si>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</si>
  <si>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</si>
  <si>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</si>
  <si>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</si>
  <si>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</si>
  <si>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</si>
  <si>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</si>
  <si>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</si>
  <si>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</si>
  <si>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</si>
  <si>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</si>
  <si>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</si>
  <si>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</si>
  <si>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</si>
  <si>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</si>
  <si>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</si>
  <si>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</si>
  <si>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</si>
  <si>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</si>
  <si>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</si>
  <si>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</si>
  <si>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</si>
  <si>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</si>
  <si>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</si>
  <si>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</si>
  <si>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</si>
  <si>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</si>
  <si>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</si>
  <si>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</si>
  <si>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</si>
  <si>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</si>
  <si>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</si>
  <si>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</si>
  <si>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</si>
  <si>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</si>
  <si>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</si>
  <si>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</si>
  <si>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</si>
  <si>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</si>
  <si>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</si>
  <si>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</si>
  <si>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</si>
  <si>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</si>
  <si>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</si>
  <si>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</si>
  <si>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</si>
  <si>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</si>
  <si>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</si>
  <si>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</si>
  <si>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</si>
  <si>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</si>
  <si>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</si>
  <si>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</si>
  <si>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</si>
  <si>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</si>
  <si>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</si>
  <si>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</si>
  <si>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</si>
  <si>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</si>
  <si>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</si>
  <si>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</si>
  <si>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</si>
  <si>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</si>
  <si>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</si>
  <si>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</si>
  <si>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</si>
  <si>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</si>
  <si>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</si>
  <si>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</si>
  <si>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</si>
  <si>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</si>
  <si>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</si>
  <si>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</si>
  <si>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</si>
  <si>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</si>
  <si>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</si>
  <si>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</si>
  <si>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</si>
  <si>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</si>
  <si>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</si>
  <si>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</si>
  <si>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</si>
  <si>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</si>
  <si>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</si>
  <si>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</si>
  <si>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</si>
  <si>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</si>
  <si>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</si>
  <si>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</si>
  <si>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</si>
  <si>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</si>
  <si>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</si>
  <si>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</si>
  <si>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</si>
  <si>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</si>
  <si>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</si>
  <si>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</si>
  <si>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</si>
  <si>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</si>
  <si>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</si>
  <si>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</si>
  <si>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</si>
  <si>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</si>
  <si>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</si>
  <si>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</si>
  <si>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</si>
  <si>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</si>
  <si>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</si>
  <si>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</si>
  <si>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</si>
  <si>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</si>
  <si>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</si>
  <si>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</si>
  <si>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</si>
  <si>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</si>
  <si>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</si>
  <si>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</si>
  <si>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</si>
  <si>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</si>
  <si>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</si>
  <si>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</si>
  <si>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</si>
  <si>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</si>
  <si>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</si>
  <si>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</si>
  <si>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</si>
  <si>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</si>
  <si>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</si>
  <si>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</si>
  <si>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</si>
  <si>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</si>
  <si>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</si>
  <si>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</si>
  <si>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</si>
  <si>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</si>
  <si>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</si>
  <si>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</si>
  <si>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</si>
  <si>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</si>
  <si>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</si>
  <si>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</si>
  <si>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</si>
  <si>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</si>
  <si>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</si>
  <si>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</si>
  <si>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</si>
  <si>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</si>
  <si>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</si>
  <si>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</si>
  <si>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</si>
  <si>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</si>
  <si>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</si>
  <si>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</si>
  <si>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</si>
  <si>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</si>
  <si>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</si>
  <si>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</si>
  <si>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</si>
  <si>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</si>
  <si>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</si>
  <si>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</si>
  <si>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</si>
  <si>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</si>
  <si>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</si>
  <si>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</si>
  <si>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</si>
  <si>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</si>
  <si>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</si>
  <si>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</si>
  <si>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</si>
  <si>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</si>
  <si>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</si>
  <si>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</si>
  <si>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</si>
  <si>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</si>
  <si>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</si>
  <si>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</si>
  <si>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</si>
  <si>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</si>
  <si>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</si>
  <si>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</si>
  <si>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</si>
  <si>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</si>
  <si>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</si>
  <si>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</si>
  <si>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</si>
  <si>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</si>
  <si>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</si>
  <si>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</si>
  <si>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</si>
  <si>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</si>
  <si>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 Misses</t>
  </si>
  <si>
    <t>26</t>
  </si>
  <si>
    <t>21</t>
  </si>
  <si>
    <t>Required area for land acquisition</t>
  </si>
  <si>
    <t>Jun</t>
  </si>
  <si>
    <t>Mitigation of Project Execution Plan implementation challenges</t>
  </si>
  <si>
    <t>Jul</t>
  </si>
  <si>
    <t>Occurred delays due to stakeholder objections</t>
  </si>
  <si>
    <t>Aug</t>
  </si>
  <si>
    <t>Sep</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</si>
  <si>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</si>
  <si>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</si>
  <si>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</si>
  <si>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</si>
  <si>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</si>
  <si>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</si>
  <si>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</si>
  <si>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</si>
  <si>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</si>
  <si>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</si>
  <si>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</si>
  <si>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</si>
  <si>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</si>
  <si>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</si>
  <si>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</si>
  <si>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</si>
  <si>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</si>
  <si>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</si>
  <si>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</si>
  <si>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</si>
  <si>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</si>
  <si>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</si>
  <si>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</si>
  <si>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</si>
  <si>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</si>
  <si>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</si>
  <si>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</si>
  <si>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</si>
  <si>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</si>
  <si>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</si>
  <si>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</si>
  <si>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</si>
  <si>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</si>
  <si>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</si>
  <si>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</si>
  <si>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</si>
  <si>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</si>
  <si>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</si>
  <si>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</si>
  <si>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</si>
  <si>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</si>
  <si>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</si>
  <si>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</si>
  <si>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</si>
  <si>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</si>
  <si>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</si>
  <si>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</si>
  <si>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</si>
  <si>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</si>
  <si>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</si>
  <si>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</si>
  <si>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</si>
  <si>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</si>
  <si>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</si>
  <si>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</si>
  <si>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</si>
  <si>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</si>
  <si>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</si>
  <si>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</si>
  <si>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</si>
  <si>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</si>
  <si>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</si>
  <si>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</si>
  <si>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</si>
  <si>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</si>
  <si>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</si>
  <si>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</si>
  <si>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</si>
  <si>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</si>
  <si>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</si>
  <si>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</si>
  <si>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</si>
  <si>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</si>
  <si>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</si>
  <si>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</si>
  <si>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</si>
  <si>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</si>
  <si>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</si>
  <si>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</si>
  <si>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</si>
  <si>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</si>
  <si>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</si>
  <si>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</si>
  <si>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</si>
  <si>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</si>
  <si>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</si>
  <si>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</si>
  <si>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</si>
  <si>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</si>
  <si>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</si>
  <si>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</si>
  <si>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</si>
  <si>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</si>
  <si>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</si>
  <si>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</si>
  <si>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</si>
  <si>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</si>
  <si>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</si>
  <si>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</si>
  <si>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</si>
  <si>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</si>
  <si>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</si>
  <si>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</si>
  <si>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</si>
  <si>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</si>
  <si>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</si>
  <si>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</si>
  <si>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</si>
  <si>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</si>
  <si>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</si>
  <si>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</si>
  <si>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</si>
  <si>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</si>
  <si>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</si>
  <si>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</si>
  <si>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</si>
  <si>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</si>
  <si>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</si>
  <si>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</si>
  <si>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</si>
  <si>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</si>
  <si>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</si>
  <si>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</si>
  <si>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</si>
  <si>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</si>
  <si>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</si>
  <si>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</si>
  <si>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</si>
  <si>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</si>
  <si>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</si>
  <si>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</si>
  <si>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</si>
  <si>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</si>
  <si>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</si>
  <si>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</si>
  <si>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</si>
  <si>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</si>
  <si>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</si>
  <si>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</si>
  <si>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</si>
  <si>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</si>
  <si>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</si>
  <si>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</si>
  <si>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</si>
  <si>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</si>
  <si>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</si>
  <si>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</si>
  <si>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</si>
  <si>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</si>
  <si>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</si>
  <si>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</si>
  <si>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</si>
  <si>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</si>
  <si>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</si>
  <si>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</si>
  <si>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</si>
  <si>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</si>
  <si>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</si>
  <si>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</si>
  <si>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</si>
  <si>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</si>
  <si>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</si>
  <si>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</si>
  <si>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</si>
  <si>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</si>
  <si>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</si>
  <si>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</si>
  <si>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</si>
  <si>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</si>
  <si>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</si>
  <si>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</si>
  <si>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</si>
  <si>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</si>
  <si>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</si>
  <si>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</si>
  <si>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</si>
  <si>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</si>
  <si>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</si>
  <si>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</si>
  <si>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</si>
  <si>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</si>
  <si>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</si>
  <si>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</si>
  <si>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</si>
  <si>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</si>
  <si>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</si>
  <si>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</si>
  <si>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</si>
  <si>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</si>
  <si>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</si>
  <si>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</si>
  <si>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</si>
  <si>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</si>
  <si>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</si>
  <si>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</si>
  <si>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</si>
  <si>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</si>
  <si>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</si>
  <si>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</si>
  <si>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</si>
  <si>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</si>
  <si>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</si>
  <si>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</si>
  <si>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</si>
  <si>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</si>
  <si>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</si>
  <si>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</si>
  <si>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</si>
  <si>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</si>
  <si>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</si>
  <si>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</si>
  <si>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</si>
  <si>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</si>
  <si>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</si>
  <si>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</si>
  <si>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</si>
  <si>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</si>
  <si>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</si>
  <si>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</si>
  <si>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</si>
  <si>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</si>
  <si>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</si>
  <si>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</si>
  <si>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</si>
  <si>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</si>
  <si>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</si>
  <si>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</si>
  <si>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</si>
  <si>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</si>
  <si>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</si>
  <si>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</si>
  <si>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</si>
  <si>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</si>
  <si>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</si>
  <si>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</si>
  <si>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</si>
  <si>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</si>
  <si>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</si>
  <si>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</si>
  <si>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</si>
  <si>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</si>
  <si>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</si>
  <si>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</si>
  <si>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</si>
  <si>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</si>
  <si>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</si>
  <si>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</si>
  <si>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</si>
  <si>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</si>
  <si>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</si>
  <si>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</si>
  <si>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</si>
  <si>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</si>
  <si>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</si>
  <si>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</si>
  <si>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</si>
  <si>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</si>
  <si>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</si>
  <si>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</si>
  <si>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</si>
  <si>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</si>
  <si>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</si>
  <si>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</si>
  <si>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</si>
  <si>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</si>
  <si>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</si>
  <si>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</si>
  <si>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Position Vacant</t>
  </si>
  <si>
    <t>Position Missing</t>
  </si>
  <si>
    <t>Name of the Policy</t>
  </si>
  <si>
    <t>Criticality (Y/N)</t>
  </si>
  <si>
    <t>Availability (Y/N)</t>
  </si>
  <si>
    <t>Name of the Technical Platform</t>
  </si>
  <si>
    <t>Strategy Planning and Review</t>
  </si>
  <si>
    <t>Chief Development, MP3</t>
  </si>
  <si>
    <t>Head of HSE</t>
  </si>
  <si>
    <t>Design Stage Gate Approval Procedures</t>
  </si>
  <si>
    <t>Y</t>
  </si>
  <si>
    <t>N</t>
  </si>
  <si>
    <t>Cost Management Platform</t>
  </si>
  <si>
    <t>Explicit Mapping against Organization Strategy</t>
  </si>
  <si>
    <t>Project Lead, MP1</t>
  </si>
  <si>
    <t>Stakeholder Interface Lead</t>
  </si>
  <si>
    <t>Benchmarking and Industry Standards</t>
  </si>
  <si>
    <t>Performance Management</t>
  </si>
  <si>
    <t>Communication and Implementation</t>
  </si>
  <si>
    <t>Clear and Documented Process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</si>
  <si>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</si>
  <si>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</si>
  <si>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</si>
  <si>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</si>
  <si>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</si>
  <si>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</si>
  <si>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</si>
  <si>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</si>
  <si>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</si>
  <si>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</si>
  <si>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</si>
  <si>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</si>
  <si>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</si>
  <si>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</si>
  <si>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</si>
  <si>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</si>
  <si>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Planning &amp; Monitoring (P&amp;M)</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</si>
  <si>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</si>
  <si>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</si>
  <si>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</si>
  <si>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</si>
  <si>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</si>
  <si>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</si>
  <si>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</si>
  <si>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</si>
  <si>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</si>
  <si>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</si>
  <si>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</si>
  <si>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</si>
  <si>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</si>
  <si>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</si>
  <si>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</si>
  <si>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</si>
  <si>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</si>
  <si>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</si>
  <si>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</si>
  <si>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</si>
  <si>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</si>
  <si>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</si>
  <si>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</si>
  <si>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</si>
  <si>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</si>
  <si>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</si>
  <si>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</si>
  <si>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</si>
  <si>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</si>
  <si>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</si>
  <si>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</si>
  <si>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</si>
  <si>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</si>
  <si>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</si>
  <si>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</si>
  <si>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</si>
  <si>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</si>
  <si>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</si>
  <si>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</si>
  <si>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</si>
  <si>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</si>
  <si>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</si>
  <si>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</si>
  <si>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</si>
  <si>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</si>
  <si>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</si>
  <si>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</si>
  <si>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</si>
  <si>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</si>
  <si>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</si>
  <si>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</si>
  <si>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</si>
  <si>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</si>
  <si>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</si>
  <si>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</si>
  <si>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</si>
  <si>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</si>
  <si>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</si>
  <si>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</si>
  <si>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</si>
  <si>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</si>
  <si>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</si>
  <si>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</si>
  <si>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</si>
  <si>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</si>
  <si>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</si>
  <si>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</si>
  <si>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</si>
  <si>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</si>
  <si>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</si>
  <si>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</si>
  <si>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</si>
  <si>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</si>
  <si>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</si>
  <si>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</si>
  <si>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</si>
  <si>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</si>
  <si>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</si>
  <si>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</si>
  <si>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</si>
  <si>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</si>
  <si>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</si>
  <si>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</si>
  <si>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</si>
  <si>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</si>
  <si>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</si>
  <si>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</si>
  <si>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</si>
  <si>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</si>
  <si>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</si>
  <si>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</si>
  <si>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</si>
  <si>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</si>
  <si>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</si>
  <si>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</si>
  <si>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</si>
  <si>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</si>
  <si>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</si>
  <si>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</si>
  <si>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 xml:space="preserve">Workforce Planning and Availability </t>
  </si>
  <si>
    <t xml:space="preserve">Resource Planning and Availability </t>
  </si>
  <si>
    <t>Top KPI</t>
  </si>
  <si>
    <t>KPI 1</t>
  </si>
  <si>
    <t>20</t>
  </si>
  <si>
    <t>KPI 2</t>
  </si>
  <si>
    <t>KPI 3</t>
  </si>
  <si>
    <t>KPI 4</t>
  </si>
  <si>
    <t>KPI 5</t>
  </si>
  <si>
    <t>Others</t>
  </si>
  <si>
    <t>Name of the KPI</t>
  </si>
  <si>
    <t>Weightage</t>
  </si>
  <si>
    <t>Key Topic</t>
  </si>
  <si>
    <t>Q1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</si>
</sst>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78">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35" fillId="0" borderId="0" xfId="0" applyNumberFormat="1" applyFont="1" applyAlignment="1">
      <alignment horizontal="left" vertical="center" wrapText="1"/>
    </xf>
    <xf numFmtId="49" fontId="21" fillId="0" borderId="0" xfId="0" applyNumberFormat="1" applyFont="1" applyAlignment="1" applyProtection="1">
      <alignment horizontal="left" vertical="center" wrapText="1"/>
      <protection hidden="1"/>
    </xf>
    <xf numFmtId="49" fontId="40" fillId="0" borderId="0" xfId="0" applyNumberFormat="1" applyFont="1" applyAlignment="1" applyProtection="1">
      <alignment horizontal="left" vertical="center"/>
      <protection locked="0"/>
    </xf>
    <xf numFmtId="49" fontId="39" fillId="0" borderId="0" xfId="0" applyNumberFormat="1" applyFont="1" applyAlignment="1" applyProtection="1">
      <alignment horizontal="left" vertical="center" wrapText="1"/>
      <protection hidden="1"/>
    </xf>
    <xf numFmtId="49" fontId="21" fillId="0" borderId="0" xfId="0" applyNumberFormat="1" applyFont="1" applyAlignment="1">
      <alignment horizontal="left" vertical="center" wrapText="1"/>
    </xf>
    <xf numFmtId="49" fontId="24" fillId="15" borderId="31" xfId="1" applyNumberFormat="1" applyFont="1" applyFill="1" applyBorder="1" applyAlignment="1">
      <alignment horizontal="center" vertical="center" wrapText="1"/>
    </xf>
    <xf numFmtId="49" fontId="24" fillId="15" borderId="32" xfId="1" applyNumberFormat="1" applyFont="1" applyFill="1" applyBorder="1" applyAlignment="1">
      <alignment horizontal="center" vertical="center" wrapText="1"/>
    </xf>
    <xf numFmtId="49" fontId="24" fillId="15" borderId="36" xfId="1" applyNumberFormat="1" applyFont="1" applyFill="1" applyBorder="1" applyAlignment="1">
      <alignment horizontal="center" vertical="center" wrapText="1"/>
    </xf>
    <xf numFmtId="49" fontId="24" fillId="15" borderId="34" xfId="1" applyNumberFormat="1" applyFont="1" applyFill="1" applyBorder="1" applyAlignment="1">
      <alignment horizontal="center" vertical="center" wrapText="1"/>
    </xf>
    <xf numFmtId="0" fontId="0" fillId="17" borderId="33" xfId="0" applyFill="1" applyBorder="1" applyAlignment="1">
      <alignment horizontal="center" vertical="center" wrapText="1"/>
    </xf>
    <xf numFmtId="49" fontId="35" fillId="17" borderId="12" xfId="0" applyNumberFormat="1" applyFont="1" applyFill="1" applyBorder="1" applyAlignment="1">
      <alignment horizontal="left" vertical="center" wrapText="1"/>
    </xf>
    <xf numFmtId="0" fontId="17" fillId="17" borderId="35" xfId="0" applyFont="1" applyFill="1" applyBorder="1" applyAlignment="1">
      <alignment horizontal="center" vertical="center" wrapText="1"/>
    </xf>
    <xf numFmtId="49" fontId="35" fillId="17" borderId="14" xfId="0" applyNumberFormat="1" applyFont="1" applyFill="1" applyBorder="1" applyAlignment="1">
      <alignment horizontal="center" vertical="center" wrapText="1"/>
    </xf>
    <xf numFmtId="0" fontId="41" fillId="17" borderId="35" xfId="0" applyFont="1" applyFill="1" applyBorder="1" applyAlignment="1">
      <alignment horizontal="center" vertical="center" wrapText="1"/>
    </xf>
    <xf numFmtId="0" fontId="0" fillId="0" borderId="33" xfId="0" applyBorder="1" applyAlignment="1">
      <alignment horizontal="center" vertical="center" wrapText="1"/>
    </xf>
    <xf numFmtId="49" fontId="35" fillId="0" borderId="12" xfId="0" applyNumberFormat="1" applyFont="1" applyBorder="1" applyAlignment="1">
      <alignment horizontal="left" vertical="center" wrapText="1"/>
    </xf>
    <xf numFmtId="0" fontId="17" fillId="0" borderId="35" xfId="0" applyFont="1" applyBorder="1" applyAlignment="1">
      <alignment horizontal="center" vertical="center" wrapText="1"/>
    </xf>
    <xf numFmtId="49" fontId="35" fillId="0" borderId="14" xfId="0" applyNumberFormat="1" applyFont="1" applyBorder="1" applyAlignment="1">
      <alignment horizontal="center" vertical="center" wrapText="1"/>
    </xf>
    <xf numFmtId="0" fontId="41" fillId="0" borderId="35" xfId="0" applyFont="1" applyBorder="1" applyAlignment="1">
      <alignment horizontal="center" vertical="center" wrapText="1"/>
    </xf>
    <xf numFmtId="49" fontId="35" fillId="17" borderId="14" xfId="0" applyNumberFormat="1" applyFont="1" applyFill="1" applyBorder="1" applyAlignment="1">
      <alignment horizontal="left" vertical="center" wrapText="1"/>
    </xf>
    <xf numFmtId="49" fontId="35" fillId="0" borderId="14" xfId="0" applyNumberFormat="1" applyFont="1" applyBorder="1" applyAlignment="1">
      <alignment horizontal="left" vertical="center" wrapText="1"/>
    </xf>
    <xf numFmtId="49" fontId="24" fillId="15" borderId="37" xfId="1" applyNumberFormat="1" applyFont="1" applyFill="1" applyBorder="1" applyAlignment="1">
      <alignment horizontal="center" vertical="center" wrapText="1"/>
    </xf>
    <xf numFmtId="49" fontId="24" fillId="15" borderId="38" xfId="1" applyNumberFormat="1" applyFont="1" applyFill="1" applyBorder="1" applyAlignment="1">
      <alignment horizontal="center" vertical="center" wrapText="1"/>
    </xf>
    <xf numFmtId="0" fontId="0" fillId="2" borderId="39" xfId="0" applyFill="1" applyBorder="1" applyAlignment="1" applyProtection="1">
      <alignment horizontal="center" vertical="center"/>
      <protection hidden="1"/>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0" fontId="0" fillId="2" borderId="0" xfId="0" applyFill="1" applyAlignment="1" applyProtection="1">
      <alignment horizontal="left" vertical="center"/>
      <protection locked="0"/>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19" fillId="15" borderId="15" xfId="1" applyNumberFormat="1" applyFont="1" applyFill="1" applyBorder="1" applyAlignment="1">
      <alignment horizontal="center" vertical="center" wrapText="1"/>
    </xf>
    <xf numFmtId="49" fontId="19" fillId="15" borderId="17" xfId="1" applyNumberFormat="1" applyFont="1" applyFill="1" applyBorder="1" applyAlignment="1">
      <alignment horizontal="center" vertical="center" wrapText="1"/>
    </xf>
    <xf numFmtId="0" fontId="14" fillId="17" borderId="13" xfId="0" applyFont="1" applyFill="1" applyBorder="1" applyAlignment="1">
      <alignment horizontal="center" vertical="center"/>
    </xf>
    <xf numFmtId="49" fontId="34" fillId="17" borderId="14" xfId="0" applyNumberFormat="1" applyFont="1" applyFill="1" applyBorder="1" applyAlignment="1">
      <alignment horizontal="center" vertical="center" wrapText="1"/>
    </xf>
    <xf numFmtId="0" fontId="14" fillId="0" borderId="13" xfId="0" applyFont="1" applyBorder="1" applyAlignment="1">
      <alignment horizontal="center" vertical="center"/>
    </xf>
    <xf numFmtId="49" fontId="34" fillId="0" borderId="14" xfId="0" applyNumberFormat="1" applyFont="1" applyBorder="1" applyAlignment="1">
      <alignment horizontal="center" vertical="center" wrapText="1"/>
    </xf>
    <xf numFmtId="0" fontId="14" fillId="17" borderId="40" xfId="0" applyFont="1" applyFill="1" applyBorder="1" applyAlignment="1" applyProtection="1">
      <alignment horizontal="center" vertical="center"/>
      <protection hidden="1"/>
    </xf>
    <xf numFmtId="49" fontId="34" fillId="17" borderId="41" xfId="0" applyNumberFormat="1" applyFont="1" applyFill="1" applyBorder="1" applyAlignment="1" applyProtection="1">
      <alignment horizontal="center" vertical="center" wrapText="1"/>
      <protection hidden="1"/>
    </xf>
    <xf numFmtId="0" fontId="19" fillId="0" borderId="0" xfId="0" applyFont="1" applyAlignment="1" applyProtection="1">
      <alignment horizontal="center" vertical="center" shrinkToFit="1"/>
      <protection hidden="1"/>
    </xf>
    <xf numFmtId="169" fontId="0" fillId="2" borderId="42" xfId="0" applyNumberFormat="1"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49" fontId="21"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8"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10" borderId="2" xfId="0" applyNumberFormat="1" applyFont="1" applyFill="1" applyBorder="1" applyAlignment="1" applyProtection="1">
      <alignment horizontal="center" vertical="center" wrapText="1"/>
      <protection locked="0"/>
    </xf>
    <xf numFmtId="2" fontId="21" fillId="9"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9" fontId="29" fillId="10" borderId="2" xfId="0" applyNumberFormat="1" applyFont="1" applyFill="1" applyBorder="1" applyAlignment="1" applyProtection="1">
      <alignment horizontal="center" vertical="center" wrapText="1"/>
      <protection locked="0"/>
    </xf>
    <xf numFmtId="49" fontId="35" fillId="10" borderId="24" xfId="0" applyNumberFormat="1" applyFont="1" applyFill="1" applyBorder="1" applyAlignment="1" applyProtection="1">
      <alignment horizontal="left" vertical="center" wrapText="1"/>
      <protection hidden="1"/>
    </xf>
    <xf numFmtId="49" fontId="35" fillId="9" borderId="24" xfId="0" applyNumberFormat="1" applyFont="1" applyFill="1" applyBorder="1" applyAlignment="1" applyProtection="1">
      <alignment horizontal="left" vertical="center" wrapText="1"/>
      <protection locked="0"/>
    </xf>
    <xf numFmtId="49" fontId="23" fillId="18" borderId="27"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 fontId="37" fillId="19" borderId="27" xfId="0" applyNumberFormat="1" applyFont="1" applyFill="1" applyBorder="1" applyAlignment="1" applyProtection="1">
      <alignment horizontal="center" vertical="center"/>
      <protection hidden="1"/>
    </xf>
    <xf numFmtId="166" fontId="21" fillId="10" borderId="2" xfId="0" applyNumberFormat="1" applyFont="1" applyFill="1" applyBorder="1" applyAlignment="1">
      <alignment horizontal="center" vertical="center" wrapText="1"/>
    </xf>
    <xf numFmtId="1" fontId="37" fillId="0" borderId="28" xfId="0" applyNumberFormat="1" applyFont="1" applyBorder="1" applyAlignment="1" applyProtection="1">
      <alignment horizontal="left" vertical="top" wrapText="1"/>
      <protection hidden="1"/>
    </xf>
    <xf numFmtId="1" fontId="37" fillId="0" borderId="29" xfId="0" applyNumberFormat="1" applyFont="1" applyBorder="1" applyAlignment="1" applyProtection="1">
      <alignment horizontal="left" vertical="top" wrapText="1"/>
      <protection hidden="1"/>
    </xf>
    <xf numFmtId="1" fontId="37" fillId="0" borderId="30" xfId="0" applyNumberFormat="1" applyFont="1" applyBorder="1" applyAlignment="1" applyProtection="1">
      <alignment horizontal="left" vertical="top" wrapText="1"/>
      <protection hidden="1"/>
    </xf>
    <xf numFmtId="166" fontId="23" fillId="18" borderId="27" xfId="0" applyNumberFormat="1" applyFont="1" applyFill="1" applyBorder="1" applyAlignment="1">
      <alignment horizontal="center" vertical="center" wrapText="1"/>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8">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dxf>
    <dxf>
      <border outline="0">
        <top style="thin">
          <color theme="7"/>
        </top>
      </border>
    </dxf>
    <dxf>
      <border outline="0">
        <left style="thin">
          <color theme="3"/>
        </left>
        <right style="thin">
          <color theme="7"/>
        </right>
        <top style="thin">
          <color theme="3"/>
        </top>
        <bottom style="thin">
          <color theme="7"/>
        </bottom>
      </border>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outline="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outline="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8.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44210" name="Group 12">
          <a:extLst>
            <a:ext uri="{FF2B5EF4-FFF2-40B4-BE49-F238E27FC236}">
              <a16:creationId xmlns:a16="http://schemas.microsoft.com/office/drawing/2014/main" id="{1ADA58E0-9392-6B3C-5ADD-A93E570741A6}"/>
            </a:ext>
          </a:extLst>
        </xdr:cNvPr>
        <xdr:cNvGrpSpPr/>
      </xdr:nvGrpSpPr>
      <xdr:grpSpPr>
        <a:xfrm>
          <a:off x="4722000" y="2961063"/>
          <a:ext cx="1242779" cy="692728"/>
          <a:chOff x="914400" y="3893820"/>
          <a:chExt cx="2743200" cy="1295400"/>
        </a:xfrm>
      </xdr:grpSpPr>
      <xdr:sp macro="" textlink="">
        <xdr:nvSpPr>
          <xdr:cNvPr id="4421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21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21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214"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215"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3850" name="Group 21">
          <a:extLst>
            <a:ext uri="{FF2B5EF4-FFF2-40B4-BE49-F238E27FC236}">
              <a16:creationId xmlns:a16="http://schemas.microsoft.com/office/drawing/2014/main" id="{642E897E-EBE4-4504-AF4F-C364ADD5AB7B}"/>
            </a:ext>
          </a:extLst>
        </xdr:cNvPr>
        <xdr:cNvGrpSpPr/>
      </xdr:nvGrpSpPr>
      <xdr:grpSpPr>
        <a:xfrm>
          <a:off x="6609682" y="2961063"/>
          <a:ext cx="1242779" cy="692728"/>
          <a:chOff x="914400" y="3893820"/>
          <a:chExt cx="2743200" cy="1295400"/>
        </a:xfrm>
      </xdr:grpSpPr>
      <xdr:sp macro="" textlink="">
        <xdr:nvSpPr>
          <xdr:cNvPr id="43851"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852"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853"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854"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855"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43670" name="Group 47">
          <a:extLst>
            <a:ext uri="{FF2B5EF4-FFF2-40B4-BE49-F238E27FC236}">
              <a16:creationId xmlns:a16="http://schemas.microsoft.com/office/drawing/2014/main" id="{962374DA-E59B-4DF4-B472-E09053CD2EF5}"/>
            </a:ext>
          </a:extLst>
        </xdr:cNvPr>
        <xdr:cNvGrpSpPr/>
      </xdr:nvGrpSpPr>
      <xdr:grpSpPr>
        <a:xfrm>
          <a:off x="8497363" y="2961063"/>
          <a:ext cx="1242780" cy="692728"/>
          <a:chOff x="914400" y="3893820"/>
          <a:chExt cx="2743200" cy="1295400"/>
        </a:xfrm>
      </xdr:grpSpPr>
      <xdr:sp macro="" textlink="">
        <xdr:nvSpPr>
          <xdr:cNvPr id="43671"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672"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43673"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674"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675"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43610" name="Group 53">
          <a:extLst>
            <a:ext uri="{FF2B5EF4-FFF2-40B4-BE49-F238E27FC236}">
              <a16:creationId xmlns:a16="http://schemas.microsoft.com/office/drawing/2014/main" id="{75A0C651-9C53-40F7-AF09-FE77B0462725}"/>
            </a:ext>
          </a:extLst>
        </xdr:cNvPr>
        <xdr:cNvGrpSpPr/>
      </xdr:nvGrpSpPr>
      <xdr:grpSpPr>
        <a:xfrm>
          <a:off x="10385045" y="2961063"/>
          <a:ext cx="1242779" cy="692728"/>
          <a:chOff x="914400" y="3893820"/>
          <a:chExt cx="2743200" cy="1295400"/>
        </a:xfrm>
      </xdr:grpSpPr>
      <xdr:sp macro="" textlink="">
        <xdr:nvSpPr>
          <xdr:cNvPr id="43611"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612"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613"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614"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615"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44030" name="Group 59">
          <a:extLst>
            <a:ext uri="{FF2B5EF4-FFF2-40B4-BE49-F238E27FC236}">
              <a16:creationId xmlns:a16="http://schemas.microsoft.com/office/drawing/2014/main" id="{E6A83ECE-8EA6-4C64-AB93-225C0D453B1B}"/>
            </a:ext>
          </a:extLst>
        </xdr:cNvPr>
        <xdr:cNvGrpSpPr/>
      </xdr:nvGrpSpPr>
      <xdr:grpSpPr>
        <a:xfrm>
          <a:off x="12272726" y="2961063"/>
          <a:ext cx="1242780" cy="692728"/>
          <a:chOff x="914400" y="3893820"/>
          <a:chExt cx="2743200" cy="1295400"/>
        </a:xfrm>
      </xdr:grpSpPr>
      <xdr:sp macro="" textlink="">
        <xdr:nvSpPr>
          <xdr:cNvPr id="44031"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032"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033"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034"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035"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4390" name="Group 65">
          <a:extLst>
            <a:ext uri="{FF2B5EF4-FFF2-40B4-BE49-F238E27FC236}">
              <a16:creationId xmlns:a16="http://schemas.microsoft.com/office/drawing/2014/main" id="{D3A0E9B0-B50E-42D2-B562-6B5A462AC862}"/>
            </a:ext>
          </a:extLst>
        </xdr:cNvPr>
        <xdr:cNvGrpSpPr/>
      </xdr:nvGrpSpPr>
      <xdr:grpSpPr>
        <a:xfrm>
          <a:off x="14160409" y="2961063"/>
          <a:ext cx="1242779" cy="692728"/>
          <a:chOff x="914400" y="3893820"/>
          <a:chExt cx="2743200" cy="1295400"/>
        </a:xfrm>
      </xdr:grpSpPr>
      <xdr:sp macro="" textlink="">
        <xdr:nvSpPr>
          <xdr:cNvPr id="4439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439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439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439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439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249382</xdr:colOff>
      <xdr:row>9</xdr:row>
      <xdr:rowOff>10103</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448643</xdr:colOff>
      <xdr:row>5</xdr:row>
      <xdr:rowOff>162201</xdr:rowOff>
    </xdr:from>
    <xdr:to>
      <xdr:col>23</xdr:col>
      <xdr:colOff>49557</xdr:colOff>
      <xdr:row>7</xdr:row>
      <xdr:rowOff>16351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667250" y="3807206"/>
          <a:ext cx="10962830" cy="200387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512763</xdr:colOff>
      <xdr:row>6</xdr:row>
      <xdr:rowOff>0</xdr:rowOff>
    </xdr:from>
    <xdr:to>
      <xdr:col>21</xdr:col>
      <xdr:colOff>274843</xdr:colOff>
      <xdr:row>7</xdr:row>
      <xdr:rowOff>16627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 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178033" cy="17259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178033" cy="17259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9951307" cy="17259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2</xdr:col>
      <xdr:colOff>3681270</xdr:colOff>
      <xdr:row>1</xdr:row>
      <xdr:rowOff>142314</xdr:rowOff>
    </xdr:from>
    <xdr:to>
      <xdr:col>3</xdr:col>
      <xdr:colOff>285750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361436</xdr:colOff>
      <xdr:row>1</xdr:row>
      <xdr:rowOff>141001</xdr:rowOff>
    </xdr:from>
    <xdr:to>
      <xdr:col>3</xdr:col>
      <xdr:colOff>1099766</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160272" cy="17331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179425"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66509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160272"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168508"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168931" cy="17259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160272" cy="17259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684148" cy="17259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178033"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176246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0</xdr:col>
      <xdr:colOff>2181225</xdr:colOff>
      <xdr:row>0</xdr:row>
      <xdr:rowOff>176400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175260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5811500" y="438150"/>
          <a:ext cx="66675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2582701</xdr:colOff>
      <xdr:row>1</xdr:row>
      <xdr:rowOff>175260</xdr:rowOff>
    </xdr:from>
    <xdr:to>
      <xdr:col>8</xdr:col>
      <xdr:colOff>3230880</xdr:colOff>
      <xdr:row>2</xdr:row>
      <xdr:rowOff>175260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039496" y="43815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358140</xdr:colOff>
          <xdr:row>1</xdr:row>
          <xdr:rowOff>152400</xdr:rowOff>
        </xdr:from>
        <xdr:to>
          <xdr:col>7</xdr:col>
          <xdr:colOff>952500</xdr:colOff>
          <xdr:row>2</xdr:row>
          <xdr:rowOff>121920</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426720</xdr:colOff>
          <xdr:row>0</xdr:row>
          <xdr:rowOff>175260</xdr:rowOff>
        </xdr:from>
        <xdr:to>
          <xdr:col>6</xdr:col>
          <xdr:colOff>365760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807720</xdr:colOff>
          <xdr:row>0</xdr:row>
          <xdr:rowOff>175260</xdr:rowOff>
        </xdr:from>
        <xdr:to>
          <xdr:col>6</xdr:col>
          <xdr:colOff>1706880</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91440</xdr:colOff>
          <xdr:row>0</xdr:row>
          <xdr:rowOff>175260</xdr:rowOff>
        </xdr:from>
        <xdr:to>
          <xdr:col>7</xdr:col>
          <xdr:colOff>746760</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1820014</xdr:colOff>
      <xdr:row>1</xdr:row>
      <xdr:rowOff>148119</xdr:rowOff>
    </xdr:from>
    <xdr:to>
      <xdr:col>7</xdr:col>
      <xdr:colOff>2103120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175260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60960</xdr:rowOff>
        </xdr:from>
        <xdr:to>
          <xdr:col>13</xdr:col>
          <xdr:colOff>708660</xdr:colOff>
          <xdr:row>2</xdr:row>
          <xdr:rowOff>15240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2541270</xdr:colOff>
          <xdr:row>1</xdr:row>
          <xdr:rowOff>125730</xdr:rowOff>
        </xdr:from>
        <xdr:to>
          <xdr:col>8</xdr:col>
          <xdr:colOff>1549710</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1664315" y="396240"/>
              <a:ext cx="2340285" cy="248190"/>
              <a:chOff x="8736083" y="539612"/>
              <a:chExt cx="1801886"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83" y="539612"/>
                <a:ext cx="1085854"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4"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530458" cy="17259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492027" cy="17259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516171" cy="17258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7" dataDxfId="376" headerRowCellStyle="Normal 14 4 6">
  <autoFilter ref="A5:D20" xr:uid="{A5A37243-05DE-4A60-A303-D47DDEE5637D}"/>
  <tableColumns count="4">
    <tableColumn id="1" xr3:uid="{54CD31F5-44A3-4063-A507-AFEE10C5C168}" name="SN" dataDxfId="375">
      <calculatedColumnFormula>ROW()-5</calculatedColumnFormula>
    </tableColumn>
    <tableColumn id="2" xr3:uid="{2368C5F8-0612-4155-B61A-1B1A9DF158FD}" name="Page" dataDxfId="374"/>
    <tableColumn id="3" xr3:uid="{F1DC2916-9A53-4CDB-B240-C002102859F5}" name="Role" dataDxfId="373"/>
    <tableColumn id="4" xr3:uid="{4E98D772-8A97-4B53-AFD8-D3FBA854D17C}" name="Instructions" dataDxfId="372"/>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1" dataDxfId="370" headerRowCellStyle="Normal 14 4 6">
  <autoFilter ref="A5:D105" xr:uid="{864BE349-6EAD-4C1E-A3E1-2129FDE6A6EE}"/>
  <tableColumns count="4">
    <tableColumn id="1" xr3:uid="{18F8790B-51B5-4194-98F4-69B912CABF04}" name="SN" dataDxfId="369">
      <calculatedColumnFormula>ROW()-5</calculatedColumnFormula>
    </tableColumn>
    <tableColumn id="3" xr3:uid="{FE95099E-FBB1-477F-952C-E7904CFF6C54}" name="Section" dataDxfId="368"/>
    <tableColumn id="2" xr3:uid="{0D887DDC-170F-47A1-9A6C-7A16B4E8BE39}" name="Term" dataDxfId="367"/>
    <tableColumn id="4" xr3:uid="{3EED60BE-44A8-48A2-BE67-2C4863A6D1E1}" name="Description" dataDxfId="366"/>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49" dataDxfId="348" headerRowCellStyle="Normal 14 4 6">
  <autoFilter ref="A5:F12" xr:uid="{864BE349-6EAD-4C1E-A3E1-2129FDE6A6EE}"/>
  <tableColumns count="6">
    <tableColumn id="1" xr3:uid="{BCFC94C5-35ED-40B8-95D9-BCA5BD9FEDD8}" name="SN" dataDxfId="347">
      <calculatedColumnFormula>ROW()-5</calculatedColumnFormula>
    </tableColumn>
    <tableColumn id="4" xr3:uid="{4C42A32D-5A1F-4502-AFE4-B708EED5CBA3}" name="Question" dataDxfId="346"/>
    <tableColumn id="2" xr3:uid="{B689537A-683E-4A52-A80B-D99F18E40FBE}" name="Date of_x000a_ Interview" dataDxfId="345"/>
    <tableColumn id="6" xr3:uid="{44BABC01-F6ED-4108-803E-B731B5A70286}" name="Response" dataDxfId="344"/>
    <tableColumn id="5" xr3:uid="{A6A682A5-104C-4B03-ACC4-6485BF58A79F}" name="Internal Comment" dataDxfId="343"/>
    <tableColumn id="3" xr3:uid="{031E3CA7-B3C0-436C-93C5-04367DDFB11A}" name="Follow Up Question" dataDxfId="342"/>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41" dataDxfId="339" headerRowBorderDxfId="340" tableBorderDxfId="338" totalsRowBorderDxfId="337"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36">
      <calculatedColumnFormula>IF($C6="","",SUBTOTAL(3,$C$6:$C6)*1)</calculatedColumnFormula>
    </tableColumn>
    <tableColumn id="5" xr3:uid="{DB0242FD-3838-47F4-B4B0-57DA46235C33}" name="Criteria" dataDxfId="335"/>
    <tableColumn id="2" xr3:uid="{73D1ADC6-D3BC-4E09-A737-23788D353ACC}" name="Additional Data Point" dataDxfId="334"/>
    <tableColumn id="4" xr3:uid="{93A7F1DD-9E2F-4F9A-B447-C073B705200C}" name="Value" dataDxfId="333"/>
    <tableColumn id="3" xr3:uid="{D6706452-7C72-4520-9876-F07B8632D902}" name="Scorecard_x000a_Visualization" dataDxfId="332"/>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31" dataDxfId="329" headerRowBorderDxfId="330" tableBorderDxfId="328" totalsRowBorderDxfId="327" headerRowCellStyle="Normal 14 4 6">
  <autoFilter ref="G5:J10" xr:uid="{F6BDC75A-4841-4299-947C-EAD9322097A6}"/>
  <tableColumns count="4">
    <tableColumn id="1" xr3:uid="{C09C30FC-E678-4FA0-830F-DF481A2E754C}" name="Year" dataDxfId="326"/>
    <tableColumn id="2" xr3:uid="{3BD218EE-6BC5-4A87-81B6-355DDF55A9B9}" name="Value Completed (Baseline) in M SAR" dataDxfId="325"/>
    <tableColumn id="3" xr3:uid="{2AC72B4E-0D63-42E5-A903-AABEA45A1BE6}" name="Value Completed (Actual) in M SAR" dataDxfId="324"/>
    <tableColumn id="4" xr3:uid="{A55CD2BA-9389-4EE8-93FE-7974783299FB}" name="Value Completed (Forecast) in M SAR" dataDxfId="323"/>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22" dataDxfId="320" headerRowBorderDxfId="321" tableBorderDxfId="319" headerRowCellStyle="Normal 14 4 6">
  <autoFilter ref="L5:Q15" xr:uid="{638ADAD1-A415-48E0-B664-FCD13792A5F7}"/>
  <tableColumns count="6">
    <tableColumn id="1" xr3:uid="{2B21D8AB-F27C-4DF2-9DB4-F450CD6C7B9E}" name="Risk" dataDxfId="318"/>
    <tableColumn id="2" xr3:uid="{1FFAB184-A74A-4024-932B-EAA226E32E78}" name="Source" dataDxfId="317"/>
    <tableColumn id="3" xr3:uid="{C1C76498-6273-472A-B7D2-03AD43DC832C}" name="Potential Impact" dataDxfId="316"/>
    <tableColumn id="4" xr3:uid="{6FBC48BF-CC01-44D9-8772-B2A5F6EDEFB9}" name="Risk Rating" dataDxfId="315"/>
    <tableColumn id="6" xr3:uid="{58250314-6F34-4AC6-B216-ACDA1B7632A8}" name="Risk Status" dataDxfId="314"/>
    <tableColumn id="5" xr3:uid="{41DF5C0C-6F78-45D7-AB7A-0DEBC5F5B54E}" name="Current Measures" dataDxfId="313"/>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12" dataDxfId="310" headerRowBorderDxfId="311" tableBorderDxfId="309" totalsRowBorderDxfId="308" headerRowCellStyle="Normal 14 4 6">
  <autoFilter ref="S5:T10" xr:uid="{B53DEF4E-A1FA-415F-AD37-2A938CDA2D96}"/>
  <tableColumns count="2">
    <tableColumn id="1" xr3:uid="{48BEC9E9-22B2-4383-92A3-3F9DA680E10B}" name="Risk Category" dataDxfId="307"/>
    <tableColumn id="2" xr3:uid="{B1E42917-05B3-4B85-8BF5-68A9CC4CEA5C}" name="Number of Risk Items" dataDxfId="306"/>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289" dataDxfId="288" headerRowCellStyle="Normal 14 4 6">
  <autoFilter ref="A5:F23" xr:uid="{E124A8AD-FA0D-4B58-8889-27E89523D8B7}"/>
  <tableColumns count="6">
    <tableColumn id="1" xr3:uid="{2FF515EE-FEFA-4F2B-8E6D-C7C137917FE3}" name="SN" dataDxfId="287">
      <calculatedColumnFormula>ROW()-5</calculatedColumnFormula>
    </tableColumn>
    <tableColumn id="4" xr3:uid="{FE405A25-26FC-40DB-8202-F979D4D4B87B}" name="Question" dataDxfId="286"/>
    <tableColumn id="2" xr3:uid="{D7CDD2DC-CA4E-4839-9B1B-B7BC396EBF55}" name="Date of Interview" dataDxfId="285"/>
    <tableColumn id="6" xr3:uid="{3FC0B7C0-9EF5-4CD2-BD04-C83D98CA4FE8}" name="Response" dataDxfId="284"/>
    <tableColumn id="5" xr3:uid="{A62987BE-367D-4487-9017-6766BC929B3E}" name="Internal Comment" dataDxfId="283"/>
    <tableColumn id="3" xr3:uid="{4E3B3D40-A77D-45CA-BE3A-A34A00D78446}" name="Follow Up Question" dataDxfId="282"/>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281" dataDxfId="279" headerRowBorderDxfId="280" tableBorderDxfId="278" totalsRowBorderDxfId="277"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276">
      <calculatedColumnFormula>IF($C6="","",SUBTOTAL(3,$C$6:$C6)*1)</calculatedColumnFormula>
    </tableColumn>
    <tableColumn id="5" xr3:uid="{903F778D-78F8-4C13-B5D9-F70ABCE044D4}" name="Criteria" dataDxfId="275"/>
    <tableColumn id="2" xr3:uid="{72F26037-ADC3-48B3-9382-D1E178CA0C12}" name="Additional Data Point" dataDxfId="274"/>
    <tableColumn id="4" xr3:uid="{7794C619-4434-4799-BD83-AFF4E89C9BBB}" name="Value" dataDxfId="273"/>
    <tableColumn id="3" xr3:uid="{B0FF0CC9-3659-4C44-8A45-07DBC9594831}" name="Scorecard_x000a_Visualization" dataDxfId="272"/>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255" dataDxfId="254" headerRowCellStyle="Normal 14 4 6">
  <autoFilter ref="A5:F30" xr:uid="{2496F010-41FE-465B-BB3C-ABD0D56021D3}"/>
  <tableColumns count="6">
    <tableColumn id="1" xr3:uid="{53348864-0E88-4F4A-B26A-5FA5DC93F798}" name="SN" dataDxfId="253">
      <calculatedColumnFormula>ROW()-5</calculatedColumnFormula>
    </tableColumn>
    <tableColumn id="4" xr3:uid="{710F3A27-CD05-4A71-BA05-1FEF27ED9BE6}" name="Question" dataDxfId="252"/>
    <tableColumn id="2" xr3:uid="{A7C55FF1-1313-42E9-AD30-C40989D466B2}" name="Date of Interview" dataDxfId="251"/>
    <tableColumn id="6" xr3:uid="{B71499BC-6289-4F29-9AB4-12742CA7F583}" name="Response" dataDxfId="250"/>
    <tableColumn id="5" xr3:uid="{FCE5D35A-203D-4E95-91CD-76249DD2C90A}" name="Internal Comment" dataDxfId="249"/>
    <tableColumn id="3" xr3:uid="{F55CA432-E060-40E3-99EF-4CFDF57A481E}" name="Follow Up Question" dataDxfId="248"/>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80" totalsRowShown="0" headerRowDxfId="247" dataDxfId="245" headerRowBorderDxfId="246" tableBorderDxfId="244" totalsRowBorderDxfId="243" headerRowCellStyle="Normal 14 4 6">
  <autoFilter ref="A5:E80" xr:uid="{864BE349-6EAD-4C1E-A3E1-2129FDE6A6EE}"/>
  <tableColumns count="5">
    <tableColumn id="1" xr3:uid="{50A3D801-4158-4856-967C-6385978162F6}" name="SN" dataDxfId="242">
      <calculatedColumnFormula>IF($C6="","",SUBTOTAL(3,$C$6:$C6)*1)</calculatedColumnFormula>
    </tableColumn>
    <tableColumn id="5" xr3:uid="{91135766-D48D-4926-9B3C-E13845D61628}" name="Criteria" dataDxfId="241"/>
    <tableColumn id="3" xr3:uid="{CD23BCD0-BD23-4BFF-84E2-BF34080C3F23}" name="Additional Data Point" dataDxfId="240"/>
    <tableColumn id="2" xr3:uid="{D0D84E3F-4C0A-4D03-8A95-5D229B08B28D}" name="Value" dataDxfId="239"/>
    <tableColumn id="4" xr3:uid="{AD8651D4-B208-4920-B1D5-C6B52060699F}" name="Scorecard_x000a_Visualization" dataDxfId="238"/>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21" dataDxfId="220" headerRowCellStyle="Normal 14 4 6">
  <autoFilter ref="A5:F11" xr:uid="{7C566127-3BA7-47B7-BE1A-8571E67DE100}"/>
  <tableColumns count="6">
    <tableColumn id="1" xr3:uid="{B93D3BCF-FC57-4A16-8732-C7210FDD51EA}" name="SN" dataDxfId="219">
      <calculatedColumnFormula>ROW()-5</calculatedColumnFormula>
    </tableColumn>
    <tableColumn id="4" xr3:uid="{4A7867C2-FCC9-43B7-9811-5CCC3E229C64}" name="Question" dataDxfId="218"/>
    <tableColumn id="2" xr3:uid="{256174A5-E2F7-4F49-A528-AA4B2E5C1D65}" name="Date of Interview" dataDxfId="217"/>
    <tableColumn id="6" xr3:uid="{704DA749-7C2E-4AF2-908A-E9FD9021B2EE}" name="Response" dataDxfId="216"/>
    <tableColumn id="5" xr3:uid="{94685139-400B-4716-8B0A-0C835906341B}" name="Internal Comment" dataDxfId="215"/>
    <tableColumn id="3" xr3:uid="{98D52C94-33E3-47B5-94D9-1EAA123F447C}" name="Follow Up Question" dataDxfId="214"/>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13" dataDxfId="211" headerRowBorderDxfId="212" tableBorderDxfId="210" totalsRowBorderDxfId="209" headerRowCellStyle="Normal 14 4 6">
  <autoFilter ref="A5:E22" xr:uid="{864BE349-6EAD-4C1E-A3E1-2129FDE6A6EE}"/>
  <tableColumns count="5">
    <tableColumn id="1" xr3:uid="{B08108DC-8E00-4A87-A184-EA32AF242861}" name="SN" dataDxfId="208">
      <calculatedColumnFormula>IF($C6="","",SUBTOTAL(3,$C$6:$C6)*1)</calculatedColumnFormula>
    </tableColumn>
    <tableColumn id="5" xr3:uid="{5170934E-8358-481E-BBE9-5AE3DC22F57A}" name="Criteria" dataDxfId="207"/>
    <tableColumn id="3" xr3:uid="{85989E26-291E-4830-8FDA-50AB5B66B3D0}" name="Additional Data Point" dataDxfId="206"/>
    <tableColumn id="2" xr3:uid="{E28596DE-7F8D-48C1-A7B5-9AC787AD79B2}" name="Value" dataDxfId="205"/>
    <tableColumn id="4" xr3:uid="{C22645EB-2B1B-4C8A-AAF5-8C0C24A230E7}" name="Scorecard_x000a_Visualization" dataDxfId="204"/>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187" dataDxfId="186" headerRowCellStyle="Normal 14 4 6">
  <autoFilter ref="A5:F11" xr:uid="{864BE349-6EAD-4C1E-A3E1-2129FDE6A6EE}"/>
  <tableColumns count="6">
    <tableColumn id="1" xr3:uid="{D64120B7-D117-46C2-8534-9737ECB71B5A}" name="SN" dataDxfId="185">
      <calculatedColumnFormula>ROW()-5</calculatedColumnFormula>
    </tableColumn>
    <tableColumn id="2" xr3:uid="{CAD96916-06D2-478F-B07B-18A82F821B29}" name="Question" dataDxfId="184"/>
    <tableColumn id="4" xr3:uid="{9237456B-2111-4B88-BC56-7918D4D09DCE}" name="Date of Interview" dataDxfId="183"/>
    <tableColumn id="3" xr3:uid="{0842C622-8A40-4DB4-A02D-A2D7B5035381}" name="Response" dataDxfId="182"/>
    <tableColumn id="5" xr3:uid="{EA493FF3-3CF6-49EA-BDBA-339952B054E4}" name="Internal Comment" dataDxfId="181"/>
    <tableColumn id="6" xr3:uid="{01210113-00D7-402C-8695-3CDE86523261}" name="Follow Up Question" dataDxfId="180"/>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179" dataDxfId="177" headerRowBorderDxfId="178" tableBorderDxfId="176" totalsRowBorderDxfId="175" headerRowCellStyle="Normal 14 4 6">
  <autoFilter ref="A5:E19" xr:uid="{864BE349-6EAD-4C1E-A3E1-2129FDE6A6EE}"/>
  <tableColumns count="5">
    <tableColumn id="1" xr3:uid="{63D16620-B8BF-4338-8A82-E5DED1F37F96}" name="SN" dataDxfId="174">
      <calculatedColumnFormula>IF($C6="","",SUBTOTAL(3,$C$6:$C6)*1)</calculatedColumnFormula>
    </tableColumn>
    <tableColumn id="5" xr3:uid="{0EAFFF78-EC2C-4023-A05B-5E32FBB5AFED}" name="Criteria" dataDxfId="173"/>
    <tableColumn id="3" xr3:uid="{59C73C4F-061A-4C6E-B152-0042842A573F}" name="Additional Data Point" dataDxfId="172"/>
    <tableColumn id="2" xr3:uid="{B04FB070-CA37-49C3-8B9A-E27ED975BBD0}" name="Value" dataDxfId="171"/>
    <tableColumn id="4" xr3:uid="{06BC057F-0F89-4D7E-8D54-840560EDAA1C}" name="Scorecard_x000a_Visualization" dataDxfId="170"/>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153" dataDxfId="152" headerRowCellStyle="Normal 14 4 6">
  <autoFilter ref="A5:F12" xr:uid="{8C9BFDE3-66E0-4950-B4C9-4791768A1CED}"/>
  <tableColumns count="6">
    <tableColumn id="1" xr3:uid="{31FC394C-1185-45E2-BE49-7552FBF3D6AA}" name="SN" dataDxfId="151">
      <calculatedColumnFormula>ROW()-5</calculatedColumnFormula>
    </tableColumn>
    <tableColumn id="4" xr3:uid="{AAD0A41A-BF54-4F03-B2EE-61698BFA0F48}" name="Question" dataDxfId="150"/>
    <tableColumn id="2" xr3:uid="{5079DEDE-7E67-41EE-BE70-BBDE708B4BE7}" name="Date of Interview" dataDxfId="149"/>
    <tableColumn id="6" xr3:uid="{FCDA8F1F-5D43-44E4-8D3C-560E0581CF93}" name="Response" dataDxfId="148"/>
    <tableColumn id="5" xr3:uid="{3B9EABC0-C9FD-45F5-A8B1-C2DE71C1B468}" name="Internal Comment" dataDxfId="147"/>
    <tableColumn id="3" xr3:uid="{5FA16EC9-0D85-44B5-A4FB-25A455203D4C}" name="Follow Up Question" dataDxfId="146"/>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145" dataDxfId="144" headerRowCellStyle="Normal 14 4 6">
  <autoFilter ref="A5:E27" xr:uid="{B2188370-F7CD-46E9-B192-DC2D8E504C54}"/>
  <tableColumns count="5">
    <tableColumn id="1" xr3:uid="{66CB391E-BAFB-409F-B052-D8B027D83384}" name="SN" dataDxfId="143">
      <calculatedColumnFormula>IF($C6="","",SUBTOTAL(3,$C$6:$C6)*1)</calculatedColumnFormula>
    </tableColumn>
    <tableColumn id="2" xr3:uid="{E371B96D-98CC-45D0-8DE4-A0E8D51BFC39}" name="Criteria" dataDxfId="142"/>
    <tableColumn id="3" xr3:uid="{47C26FA8-2E08-4FFA-B728-71144E0A4B48}" name="Additional Data Point" dataDxfId="141"/>
    <tableColumn id="4" xr3:uid="{4DA24D18-3289-44B6-A7E3-EBB49FEE8AFD}" name="Value" dataDxfId="140"/>
    <tableColumn id="5" xr3:uid="{321244CC-7DC2-4152-B389-AAA866D5F2D4}" name="Scorecard_x000a_Visualization" dataDxfId="139"/>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138" dataDxfId="136" headerRowBorderDxfId="137" tableBorderDxfId="135" totalsRowBorderDxfId="134" headerRowCellStyle="Normal 14 4 6">
  <autoFilter ref="G5:H10" xr:uid="{4DEB1FF5-D8C9-43E7-AF52-B3C3B609AB16}"/>
  <tableColumns count="2">
    <tableColumn id="1" xr3:uid="{08342F37-B8B9-41CF-B952-0BD1009860FD}" name="Position Vacant" dataDxfId="133"/>
    <tableColumn id="2" xr3:uid="{E2550C72-8DD8-407A-9C67-3E16FD00F266}" name="Position Missing" dataDxfId="132"/>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131" dataDxfId="129" headerRowBorderDxfId="130" tableBorderDxfId="128" totalsRowBorderDxfId="127" headerRowCellStyle="Normal 14 4 6">
  <autoFilter ref="J5:L10" xr:uid="{1427F370-3017-41B3-BCA4-FE4B4673C917}"/>
  <tableColumns count="3">
    <tableColumn id="1" xr3:uid="{5B92A529-0219-4DDA-97CB-F78D6AAFCC1E}" name="Name of the Policy" dataDxfId="126"/>
    <tableColumn id="2" xr3:uid="{D821A3B4-ACC7-4E1B-8C40-7E0BDA6ACB60}" name="Criticality (Y/N)" dataDxfId="125"/>
    <tableColumn id="3" xr3:uid="{8EE90BE6-8322-42F0-83D9-682A8E523772}" name="Availability (Y/N)" dataDxfId="124"/>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123" dataDxfId="121" headerRowBorderDxfId="122" tableBorderDxfId="120" totalsRowBorderDxfId="119" headerRowCellStyle="Normal 14 4 6">
  <autoFilter ref="N5:P10" xr:uid="{322E3934-601A-4834-A3B1-09F53F099299}"/>
  <tableColumns count="3">
    <tableColumn id="1" xr3:uid="{9CAC87A7-5ED7-4836-8EF8-378491DE84D8}" name="Name of the Technical Platform" dataDxfId="118"/>
    <tableColumn id="2" xr3:uid="{526ECD2D-E93A-424C-B8EE-C884D5E9D666}" name="Criticality (Y/N)" dataDxfId="117"/>
    <tableColumn id="3" xr3:uid="{3A548908-D948-4C7B-AF8C-A9D0FD8F7221}" name="Availability (Y/N)" dataDxfId="116"/>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115" headerRowBorderDxfId="114" tableBorderDxfId="113" totalsRowBorderDxfId="112" headerRowCellStyle="Normal 14 4 6">
  <autoFilter ref="R5:S11" xr:uid="{98E94A61-3185-4343-87A5-F85F1E052A29}"/>
  <tableColumns count="2">
    <tableColumn id="1" xr3:uid="{29A1A51A-D4DA-4029-A7AE-2CA55C565805}" name="Name of the KPI" dataDxfId="111"/>
    <tableColumn id="2" xr3:uid="{E6AB856F-F1E1-4BA9-BFBA-2F0BD75DACFC}" name="Weightage" dataDxfId="110"/>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38" totalsRowShown="0" headerRowDxfId="53" dataDxfId="52" tableBorderDxfId="51" headerRowCellStyle="Normal 14 4 6">
  <autoFilter ref="A5:I38" xr:uid="{D82CC5D2-83C1-4504-ACE0-A16BC5DB961D}"/>
  <tableColumns count="9">
    <tableColumn id="1" xr3:uid="{46FC2171-D6AF-4A0B-AA21-0D678CF8AEB3}" name="SN" dataDxfId="50">
      <calculatedColumnFormula>IF($B6="","",SUBTOTAL(3,$B$6:$B6)*1)</calculatedColumnFormula>
    </tableColumn>
    <tableColumn id="2" xr3:uid="{48D454F9-BC3E-4572-A491-8C54DD090371}" name="Stakeholder" dataDxfId="49"/>
    <tableColumn id="3" xr3:uid="{3C743FA4-3AFE-4E02-9DE8-7C5EF2AA2C73}" name="Identity" dataDxfId="48"/>
    <tableColumn id="4" xr3:uid="{352AF4E4-BE92-4CAB-828B-25179AB5245A}" name="Assessor / Reviewer" dataDxfId="47"/>
    <tableColumn id="5" xr3:uid="{BC4C5CCE-BB80-43AF-A689-336ACC701B41}" name="Stamp" dataDxfId="46"/>
    <tableColumn id="6" xr3:uid="{1FA93A71-7680-428E-9EDF-D12CF5A3F377}" name="Cell" dataDxfId="45">
      <calculatedColumnFormula>IF($I6="","",MID($I6, SEARCH("Cell", $I6) + LEN("Cell"), SEARCH("changed", $I6) - SEARCH("Cell", $I6) - LEN("Cell")))</calculatedColumnFormula>
    </tableColumn>
    <tableColumn id="7" xr3:uid="{C851199A-DC61-41EA-B18C-7A7E61DB2294}" name="Section" dataDxfId="44">
      <calculatedColumnFormula>IF($I6="","",IF(ISNUMBER(FIND("Cell", $I6)), MID($I6, 1, FIND("Cell", $I6)-2), $I6))</calculatedColumnFormula>
    </tableColumn>
    <tableColumn id="8" xr3:uid="{44ABD7B6-2E9A-4280-9763-13BCAFB13028}" name="Data Point" dataDxfId="43"/>
    <tableColumn id="9" xr3:uid="{65FC85A9-BA5E-4A0C-9AE5-358AB801BB56}" name="Event" dataDxfId="4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31" dataDxfId="30">
  <autoFilter ref="B5:B105" xr:uid="{9A2902E9-7DF3-483D-A854-9CDA17FCDF90}"/>
  <sortState xmlns:xlrd2="http://schemas.microsoft.com/office/spreadsheetml/2017/richdata2" ref="B6:B105">
    <sortCondition ref="B5:B105"/>
  </sortState>
  <tableColumns count="1">
    <tableColumn id="3" xr3:uid="{11FE771A-ACDD-485E-A67B-32472776646F}" name="DDLPnM" dataDxfId="29"/>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28" dataDxfId="27">
  <autoFilter ref="C5:C105" xr:uid="{3F9B4763-4D64-4006-ADE3-86C04DA37F4F}"/>
  <sortState xmlns:xlrd2="http://schemas.microsoft.com/office/spreadsheetml/2017/richdata2" ref="C6:C105">
    <sortCondition ref="C5:C105"/>
  </sortState>
  <tableColumns count="1">
    <tableColumn id="3" xr3:uid="{4DF41812-DCCB-4F4A-B0FC-FE333CCA4DD5}" name="DDLDnT" dataDxfId="26"/>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25" dataDxfId="24">
  <autoFilter ref="D5:D105" xr:uid="{66E046FF-746F-4433-84FE-887C071ED27F}"/>
  <sortState xmlns:xlrd2="http://schemas.microsoft.com/office/spreadsheetml/2017/richdata2" ref="D6:D105">
    <sortCondition ref="D5:D105"/>
  </sortState>
  <tableColumns count="1">
    <tableColumn id="3" xr3:uid="{94BED0E4-8C3F-487B-A969-7B7E7852689D}" name="DDLDnC" dataDxfId="23"/>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22" dataDxfId="21">
  <autoFilter ref="E5:E105" xr:uid="{64BCBD95-1D3D-4CD9-A85A-E175537CE995}"/>
  <sortState xmlns:xlrd2="http://schemas.microsoft.com/office/spreadsheetml/2017/richdata2" ref="E6:E105">
    <sortCondition ref="E5:E105"/>
  </sortState>
  <tableColumns count="1">
    <tableColumn id="3" xr3:uid="{D4B359CB-8EE8-4BD9-9FAF-B3F61B182CE4}" name="DDLCEnO" dataDxfId="20"/>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9" dataDxfId="18">
  <autoFilter ref="F5:F105" xr:uid="{33CF4DA7-7222-4C10-A979-D3EE4270988A}"/>
  <sortState xmlns:xlrd2="http://schemas.microsoft.com/office/spreadsheetml/2017/richdata2" ref="F6:F105">
    <sortCondition ref="F5:F105"/>
  </sortState>
  <tableColumns count="1">
    <tableColumn id="3" xr3:uid="{70064312-862C-4A2F-93ED-2F0AEF650CC9}" name="DDLInT" dataDxfId="17"/>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6" dataDxfId="15">
  <autoFilter ref="G5:G105" xr:uid="{919B335E-BD95-4495-9C15-25A6A815C7F0}"/>
  <sortState xmlns:xlrd2="http://schemas.microsoft.com/office/spreadsheetml/2017/richdata2" ref="G6:G105">
    <sortCondition ref="G5:G105"/>
  </sortState>
  <tableColumns count="1">
    <tableColumn id="3" xr3:uid="{6F579E8E-9AB5-49DA-9050-AB74149023A7}" name="DDLSnO" dataDxfId="14"/>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3" dataDxfId="12">
  <autoFilter ref="H5:H105" xr:uid="{A1605679-391A-40C7-9873-550B26F13D7A}"/>
  <sortState xmlns:xlrd2="http://schemas.microsoft.com/office/spreadsheetml/2017/richdata2" ref="H6:H105">
    <sortCondition ref="H5:H105"/>
  </sortState>
  <tableColumns count="1">
    <tableColumn id="3" xr3:uid="{B0B1A1DC-64F6-4DFE-93BD-7BEC1497566D}" name="Section" dataDxfId="11"/>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0" dataDxfId="9">
  <autoFilter ref="K5:O205" xr:uid="{62A387EF-6D37-4117-B247-C37B633ABD58}"/>
  <tableColumns count="5">
    <tableColumn id="1" xr3:uid="{459F740F-A7AE-49AF-9684-27F7E94FA080}" name="Formula" dataDxfId="8"/>
    <tableColumn id="2" xr3:uid="{9F5B8FC5-4F6F-419B-BFA9-2BC43D00B357}" name="3" dataDxfId="7"/>
    <tableColumn id="3" xr3:uid="{C9FCFF25-BF89-4137-B543-EBE02BEB038E}" name="2" dataDxfId="6"/>
    <tableColumn id="4" xr3:uid="{9C7DD57F-80F0-4EC6-AEDE-5A880C80886A}" name="1" dataDxfId="5"/>
    <tableColumn id="5" xr3:uid="{F2EDEC14-7192-494F-AD61-FDD35E44F7BA}" name="Section" dataDxfId="4"/>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3" dataDxfId="2">
  <autoFilter ref="I5:J205" xr:uid="{C0CF3CB2-EBBB-4F3B-858C-4346B4FC6162}"/>
  <tableColumns count="2">
    <tableColumn id="1" xr3:uid="{7C01CAFB-D189-4C7D-9161-F2B7E640D4D3}" name="DocID" dataDxfId="1"/>
    <tableColumn id="2" xr3:uid="{3B357802-6C2C-4107-A1D4-11D4327364A0}" name="Document" dataDxfId="0"/>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zoomScale="110" zoomScaleNormal="110" workbookViewId="0">
      <selection activeCell="K20" sqref="K20"/>
    </sheetView>
  </sheetViews>
  <sheetFormatPr defaultColWidth="9.15234375" defaultRowHeight="20.399999999999999" x14ac:dyDescent="0.7"/>
  <cols>
    <col min="1" max="1" width="8.69140625" style="177" customWidth="1"/>
    <col min="2" max="8" width="7.69140625" style="203" customWidth="1"/>
    <col min="9" max="9" width="3.69140625" style="203" customWidth="1"/>
    <col min="10" max="11" width="7.69140625" style="203" customWidth="1"/>
    <col min="12" max="12" width="3.69140625" style="203" customWidth="1"/>
    <col min="13" max="14" width="7.69140625" style="203" customWidth="1"/>
    <col min="15" max="15" width="3.69140625" style="203" customWidth="1"/>
    <col min="16" max="17" width="7.69140625" style="203" customWidth="1"/>
    <col min="18" max="18" width="3.69140625" style="203" customWidth="1"/>
    <col min="19" max="20" width="7.69140625" style="203" customWidth="1"/>
    <col min="21" max="21" width="3.69140625" style="203" customWidth="1"/>
    <col min="22" max="26" width="7.69140625" style="203" customWidth="1"/>
    <col min="27" max="29" width="8.69140625" style="203" customWidth="1"/>
    <col min="30" max="81" width="9.15234375" style="203"/>
    <col min="82" max="16384" width="9.15234375" style="177"/>
  </cols>
  <sheetData>
    <row r="1" spans="1:81" s="175" customFormat="1" ht="49.95" customHeight="1" x14ac:dyDescent="0.7">
      <c r="A1" s="312"/>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24" t="s">
        <v>2</v>
      </c>
      <c r="X1" s="324"/>
    </row>
    <row r="2" spans="1:81" ht="13.2" customHeight="1" x14ac:dyDescent="0.7">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2" customHeight="1" x14ac:dyDescent="0.7">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2" customHeight="1" x14ac:dyDescent="0.7">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2" customHeight="1" x14ac:dyDescent="0.7">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2" customHeight="1" x14ac:dyDescent="0.7"/>
    <row r="7" spans="1:81" ht="13.2" customHeight="1" x14ac:dyDescent="0.7"/>
    <row r="8" spans="1:81" ht="13.2" customHeight="1" x14ac:dyDescent="0.7"/>
    <row r="9" spans="1:81" ht="13.2" customHeight="1" x14ac:dyDescent="0.7"/>
    <row r="10" spans="1:81" ht="13.2" customHeight="1" x14ac:dyDescent="0.7"/>
    <row r="11" spans="1:81" ht="13.2" customHeight="1" x14ac:dyDescent="0.7"/>
    <row r="12" spans="1:81" ht="13.2" customHeight="1" x14ac:dyDescent="0.7"/>
    <row r="13" spans="1:81" ht="13.2" customHeight="1" x14ac:dyDescent="0.7"/>
    <row r="14" spans="1:81" ht="13.2" customHeight="1" x14ac:dyDescent="0.7"/>
    <row r="15" spans="1:81" ht="13.2" customHeight="1" x14ac:dyDescent="0.7"/>
    <row r="16" spans="1:81" ht="13.2" customHeight="1" x14ac:dyDescent="0.7"/>
    <row r="17" spans="11:11" ht="13.2" customHeight="1" x14ac:dyDescent="0.7"/>
    <row r="18" spans="11:11" ht="13.2" customHeight="1" x14ac:dyDescent="0.7"/>
    <row r="19" spans="11:11" ht="13.2" customHeight="1" x14ac:dyDescent="0.7"/>
    <row r="20" spans="11:11" ht="13.2" customHeight="1" x14ac:dyDescent="0.7">
      <c r="K20" s="203" t="s">
        <v>3</v>
      </c>
    </row>
    <row r="21" spans="11:11" ht="13.2" customHeight="1" x14ac:dyDescent="0.7"/>
    <row r="22" spans="11:11" ht="12.6" customHeight="1" x14ac:dyDescent="0.7"/>
    <row r="23" spans="11:11" ht="13.2" customHeight="1" x14ac:dyDescent="0.7"/>
    <row r="24" spans="11:11" ht="13.2" customHeight="1" x14ac:dyDescent="0.7"/>
    <row r="25" spans="11:11" ht="13.2" customHeight="1" x14ac:dyDescent="0.7"/>
    <row r="26" spans="11:11" ht="13.2" customHeight="1" x14ac:dyDescent="0.7"/>
    <row r="27" spans="11:11" ht="13.2" customHeight="1" x14ac:dyDescent="0.7"/>
    <row r="28" spans="11:11" ht="13.2" customHeight="1" x14ac:dyDescent="0.7"/>
    <row r="29" spans="11:11" ht="13.2" customHeight="1" x14ac:dyDescent="0.7"/>
    <row r="30" spans="11:11" ht="13.2" customHeight="1" x14ac:dyDescent="0.7"/>
    <row r="31" spans="11:11" ht="12.6" customHeight="1" x14ac:dyDescent="0.7"/>
    <row r="32" spans="11:11" ht="13.2" customHeight="1" x14ac:dyDescent="0.7"/>
    <row r="33" ht="13.2" customHeight="1" x14ac:dyDescent="0.7"/>
    <row r="34" ht="13.2" customHeight="1" x14ac:dyDescent="0.7"/>
    <row r="35" ht="13.2" customHeight="1" x14ac:dyDescent="0.7"/>
    <row r="36" ht="13.2" customHeight="1" x14ac:dyDescent="0.7"/>
    <row r="37" ht="13.2" customHeight="1" x14ac:dyDescent="0.7"/>
    <row r="38" ht="13.2" customHeight="1" x14ac:dyDescent="0.7"/>
    <row r="39" ht="13.2" customHeight="1" x14ac:dyDescent="0.7"/>
    <row r="40" ht="13.2" customHeight="1" x14ac:dyDescent="0.7"/>
    <row r="41" ht="13.2" customHeight="1" x14ac:dyDescent="0.7"/>
    <row r="42" ht="13.2" customHeight="1" x14ac:dyDescent="0.7"/>
    <row r="43" ht="13.2" customHeight="1" x14ac:dyDescent="0.7"/>
    <row r="44" ht="13.2" customHeight="1" x14ac:dyDescent="0.7"/>
    <row r="45" ht="13.2" customHeight="1" x14ac:dyDescent="0.7"/>
    <row r="46" ht="13.2" customHeight="1" x14ac:dyDescent="0.7"/>
    <row r="47" ht="13.2" customHeight="1" x14ac:dyDescent="0.7"/>
    <row r="48" ht="13.2" customHeight="1" x14ac:dyDescent="0.7"/>
    <row r="49" ht="13.2" customHeight="1" x14ac:dyDescent="0.7"/>
    <row r="50" ht="13.2" customHeight="1" x14ac:dyDescent="0.7"/>
    <row r="51" ht="13.2" customHeight="1" x14ac:dyDescent="0.7"/>
    <row r="52" ht="13.2" customHeight="1" x14ac:dyDescent="0.7"/>
    <row r="53" ht="13.2" customHeight="1" x14ac:dyDescent="0.7"/>
  </sheetData>
  <sheetProtection algorithmName="SHA-512" hashValue="sxJ2BGoGTIyIsG96g6pmOGNTiDlUVIjbPRSI92NbhBr+AZpnwSmVVZw1ruBqhDNuuMy2CUEQK14DEea/e5OCAA==" saltValue="fPZbYVrUtZyl6bd+4g/6fA=="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69140625" defaultRowHeight="21" x14ac:dyDescent="0.7"/>
  <cols>
    <col min="1" max="1" width="5.69140625" style="41" customWidth="1"/>
    <col min="2" max="2" width="30.69140625" style="77" customWidth="1"/>
    <col min="3" max="3" width="20.69140625" style="77" customWidth="1"/>
    <col min="4" max="4" width="120.69140625" style="77" customWidth="1"/>
    <col min="5" max="81" width="8.69140625" style="74"/>
    <col min="82" max="16384" width="8.69140625" style="12"/>
  </cols>
  <sheetData>
    <row r="1" spans="1:81" ht="21" customHeight="1" x14ac:dyDescent="0.7">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2" customHeight="1" x14ac:dyDescent="0.7">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28.95" customHeight="1" x14ac:dyDescent="0.7">
      <c r="A6" s="120">
        <f t="shared" ref="A6:A15" si="0">ROW()-5</f>
        <v>1</v>
      </c>
      <c r="B6" s="76" t="s">
        <v>9</v>
      </c>
      <c r="C6" s="76"/>
      <c r="D6" s="204" t="s">
        <v>10</v>
      </c>
    </row>
    <row r="7" spans="1:81" ht="28.95" customHeight="1" x14ac:dyDescent="0.7">
      <c r="A7" s="120">
        <f t="shared" si="0"/>
        <v>2</v>
      </c>
      <c r="B7" s="76" t="s">
        <v>11</v>
      </c>
      <c r="C7" s="75"/>
      <c r="D7" s="204" t="s">
        <v>12</v>
      </c>
    </row>
    <row r="8" spans="1:81" ht="81" customHeight="1" x14ac:dyDescent="0.7">
      <c r="A8" s="120">
        <f t="shared" si="0"/>
        <v>3</v>
      </c>
      <c r="B8" s="76" t="s">
        <v>11</v>
      </c>
      <c r="C8" s="75" t="s">
        <v>13</v>
      </c>
      <c r="D8" s="205" t="s">
        <v>14</v>
      </c>
    </row>
    <row r="9" spans="1:81" ht="41.55" customHeight="1" x14ac:dyDescent="0.7">
      <c r="A9" s="120">
        <f t="shared" si="0"/>
        <v>4</v>
      </c>
      <c r="B9" s="76" t="s">
        <v>11</v>
      </c>
      <c r="C9" s="75" t="s">
        <v>15</v>
      </c>
      <c r="D9" s="204" t="s">
        <v>16</v>
      </c>
    </row>
    <row r="10" spans="1:81" ht="28.95" customHeight="1" x14ac:dyDescent="0.7">
      <c r="A10" s="120">
        <f t="shared" si="0"/>
        <v>5</v>
      </c>
      <c r="B10" s="76" t="s">
        <v>11</v>
      </c>
      <c r="C10" s="75" t="s">
        <v>15</v>
      </c>
      <c r="D10" s="204" t="s">
        <v>17</v>
      </c>
    </row>
    <row r="11" spans="1:81" ht="41.55" customHeight="1" x14ac:dyDescent="0.7">
      <c r="A11" s="120">
        <f t="shared" si="0"/>
        <v>6</v>
      </c>
      <c r="B11" s="76" t="s">
        <v>11</v>
      </c>
      <c r="C11" s="75" t="s">
        <v>18</v>
      </c>
      <c r="D11" s="204" t="s">
        <v>19</v>
      </c>
    </row>
    <row r="12" spans="1:81" ht="28.95" customHeight="1" x14ac:dyDescent="0.7">
      <c r="A12" s="120">
        <f t="shared" si="0"/>
        <v>7</v>
      </c>
      <c r="B12" s="76" t="s">
        <v>20</v>
      </c>
      <c r="C12" s="75" t="s">
        <v>21</v>
      </c>
      <c r="D12" s="204" t="s">
        <v>22</v>
      </c>
    </row>
    <row r="13" spans="1:81" ht="28.95" customHeight="1" x14ac:dyDescent="0.7">
      <c r="A13" s="120">
        <f t="shared" si="0"/>
        <v>8</v>
      </c>
      <c r="B13" s="76" t="s">
        <v>20</v>
      </c>
      <c r="C13" s="75" t="s">
        <v>21</v>
      </c>
      <c r="D13" s="204" t="s">
        <v>23</v>
      </c>
    </row>
    <row r="14" spans="1:81" ht="28.95" customHeight="1" x14ac:dyDescent="0.7">
      <c r="A14" s="120">
        <f t="shared" si="0"/>
        <v>9</v>
      </c>
      <c r="B14" s="76" t="s">
        <v>24</v>
      </c>
      <c r="C14" s="75"/>
      <c r="D14" s="204" t="s">
        <v>25</v>
      </c>
    </row>
    <row r="15" spans="1:81" ht="28.95" customHeight="1" x14ac:dyDescent="0.7">
      <c r="A15" s="120">
        <f t="shared" si="0"/>
        <v>10</v>
      </c>
      <c r="B15" s="76" t="s">
        <v>26</v>
      </c>
      <c r="C15" s="75" t="s">
        <v>21</v>
      </c>
      <c r="D15" s="204" t="s">
        <v>27</v>
      </c>
    </row>
    <row r="16" spans="1:81" ht="28.95" customHeight="1" x14ac:dyDescent="0.7">
      <c r="A16" s="120">
        <f>ROW()-5</f>
        <v>11</v>
      </c>
      <c r="B16" s="75" t="s">
        <v>26</v>
      </c>
      <c r="C16" s="75" t="s">
        <v>21</v>
      </c>
      <c r="D16" s="204" t="s">
        <v>28</v>
      </c>
    </row>
    <row r="17" spans="1:4" ht="28.95" customHeight="1" x14ac:dyDescent="0.7">
      <c r="A17" s="120">
        <f>ROW()-5</f>
        <v>12</v>
      </c>
      <c r="B17" s="75" t="s">
        <v>26</v>
      </c>
      <c r="C17" s="75" t="s">
        <v>21</v>
      </c>
      <c r="D17" s="204" t="s">
        <v>29</v>
      </c>
    </row>
    <row r="18" spans="1:4" ht="28.95" customHeight="1" x14ac:dyDescent="0.7">
      <c r="A18" s="120">
        <f>ROW()-5</f>
        <v>13</v>
      </c>
      <c r="B18" s="75" t="s">
        <v>26</v>
      </c>
      <c r="C18" s="75" t="s">
        <v>21</v>
      </c>
      <c r="D18" s="204" t="s">
        <v>30</v>
      </c>
    </row>
    <row r="19" spans="1:4" ht="28.95" customHeight="1" x14ac:dyDescent="0.7">
      <c r="A19" s="120">
        <f>ROW()-5</f>
        <v>14</v>
      </c>
      <c r="B19" s="75" t="s">
        <v>31</v>
      </c>
      <c r="C19" s="75"/>
      <c r="D19" s="204" t="s">
        <v>32</v>
      </c>
    </row>
    <row r="20" spans="1:4" ht="28.95" customHeight="1" x14ac:dyDescent="0.7">
      <c r="A20" s="120">
        <f>ROW()-5</f>
        <v>15</v>
      </c>
      <c r="B20" s="75" t="s">
        <v>33</v>
      </c>
      <c r="C20" s="75" t="s">
        <v>34</v>
      </c>
      <c r="D20" s="205" t="s">
        <v>35</v>
      </c>
    </row>
    <row r="21" spans="1:4" ht="13.95" customHeight="1" x14ac:dyDescent="0.7"/>
    <row r="22" spans="1:4" ht="13.95" customHeight="1" x14ac:dyDescent="0.7"/>
    <row r="23" spans="1:4" ht="13.95" customHeight="1" x14ac:dyDescent="0.7"/>
    <row r="24" spans="1:4" ht="13.95" customHeight="1" x14ac:dyDescent="0.7"/>
    <row r="25" spans="1:4" ht="13.95" customHeight="1" x14ac:dyDescent="0.7"/>
    <row r="26" spans="1:4" ht="13.95" customHeight="1" x14ac:dyDescent="0.7"/>
    <row r="27" spans="1:4" ht="13.95" customHeight="1" x14ac:dyDescent="0.7"/>
    <row r="28" spans="1:4" ht="13.95" customHeight="1" x14ac:dyDescent="0.7"/>
    <row r="29" spans="1:4" ht="13.95" customHeight="1" x14ac:dyDescent="0.7"/>
    <row r="30" spans="1:4" ht="13.95" customHeight="1" x14ac:dyDescent="0.7"/>
    <row r="31" spans="1:4" ht="13.95" customHeight="1" x14ac:dyDescent="0.7"/>
    <row r="32" spans="1:4"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sheetData>
  <sheetProtection algorithmName="SHA-512" hashValue="7LDWlGiK1WEzSl9VRHNV7Kk8vcHIrbgmL9kal3qdDEuPT5o1CDAN/UBDwzNO6RfU5b2//w+v1lzMFmXok3hjDQ==" saltValue="sbcjRDhHYl2Zd8A2gAEfqw=="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121" customWidth="1"/>
    <col min="2" max="2" width="23.69140625" style="123" customWidth="1"/>
    <col min="3" max="3" width="30.69140625" style="123" customWidth="1"/>
    <col min="4" max="4" width="120.69140625" style="80" customWidth="1"/>
    <col min="5" max="10" width="8.69140625" style="206" customWidth="1"/>
    <col min="11" max="13" width="8.69140625" style="206"/>
    <col min="14" max="14" width="7.61328125" style="206" customWidth="1"/>
    <col min="15" max="15" width="8.69140625" style="206" customWidth="1"/>
    <col min="16" max="81" width="8.69140625" style="206"/>
    <col min="82" max="16384" width="8.69140625" style="36"/>
  </cols>
  <sheetData>
    <row r="1" spans="1:81" ht="21" customHeight="1" x14ac:dyDescent="0.7">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7">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7">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5" customHeight="1" x14ac:dyDescent="0.7">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2" customHeight="1" x14ac:dyDescent="0.7">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41.55" customHeight="1" x14ac:dyDescent="0.7">
      <c r="A6" s="122">
        <f t="shared" ref="A6:A37" si="0">ROW()-5</f>
        <v>1</v>
      </c>
      <c r="B6" s="106" t="s">
        <v>39</v>
      </c>
      <c r="C6" s="106" t="s">
        <v>40</v>
      </c>
      <c r="D6" s="78" t="s">
        <v>41</v>
      </c>
    </row>
    <row r="7" spans="1:81" ht="41.55" customHeight="1" x14ac:dyDescent="0.7">
      <c r="A7" s="122">
        <f t="shared" si="0"/>
        <v>2</v>
      </c>
      <c r="B7" s="106" t="s">
        <v>39</v>
      </c>
      <c r="C7" s="106" t="s">
        <v>42</v>
      </c>
      <c r="D7" s="78" t="s">
        <v>43</v>
      </c>
    </row>
    <row r="8" spans="1:81" ht="28.95" customHeight="1" x14ac:dyDescent="0.7">
      <c r="A8" s="122">
        <f t="shared" si="0"/>
        <v>3</v>
      </c>
      <c r="B8" s="106" t="s">
        <v>44</v>
      </c>
      <c r="C8" s="106" t="s">
        <v>45</v>
      </c>
      <c r="D8" s="79" t="s">
        <v>46</v>
      </c>
    </row>
    <row r="9" spans="1:81" ht="41.55" customHeight="1" x14ac:dyDescent="0.7">
      <c r="A9" s="122">
        <f t="shared" si="0"/>
        <v>4</v>
      </c>
      <c r="B9" s="106" t="s">
        <v>47</v>
      </c>
      <c r="C9" s="106" t="s">
        <v>48</v>
      </c>
      <c r="D9" s="78" t="s">
        <v>49</v>
      </c>
    </row>
    <row r="10" spans="1:81" ht="41.55" customHeight="1" x14ac:dyDescent="0.7">
      <c r="A10" s="122">
        <f t="shared" si="0"/>
        <v>5</v>
      </c>
      <c r="B10" s="106" t="s">
        <v>50</v>
      </c>
      <c r="C10" s="106" t="s">
        <v>51</v>
      </c>
      <c r="D10" s="78" t="s">
        <v>52</v>
      </c>
    </row>
    <row r="11" spans="1:81" ht="28.95" customHeight="1" x14ac:dyDescent="0.7">
      <c r="A11" s="122">
        <f t="shared" si="0"/>
        <v>6</v>
      </c>
      <c r="B11" s="106" t="s">
        <v>53</v>
      </c>
      <c r="C11" s="106" t="s">
        <v>54</v>
      </c>
      <c r="D11" s="78" t="s">
        <v>55</v>
      </c>
    </row>
    <row r="12" spans="1:81" ht="28.95" customHeight="1" x14ac:dyDescent="0.7">
      <c r="A12" s="122">
        <f t="shared" si="0"/>
        <v>7</v>
      </c>
      <c r="B12" s="106" t="s">
        <v>39</v>
      </c>
      <c r="C12" s="106" t="s">
        <v>56</v>
      </c>
      <c r="D12" s="78" t="s">
        <v>57</v>
      </c>
    </row>
    <row r="13" spans="1:81" ht="28.95" customHeight="1" x14ac:dyDescent="0.7">
      <c r="A13" s="122">
        <f t="shared" si="0"/>
        <v>8</v>
      </c>
      <c r="B13" s="106" t="s">
        <v>39</v>
      </c>
      <c r="C13" s="106" t="s">
        <v>58</v>
      </c>
      <c r="D13" s="79" t="s">
        <v>59</v>
      </c>
    </row>
    <row r="14" spans="1:81" ht="28.95" customHeight="1" x14ac:dyDescent="0.7">
      <c r="A14" s="122">
        <f t="shared" si="0"/>
        <v>9</v>
      </c>
      <c r="B14" s="106" t="s">
        <v>39</v>
      </c>
      <c r="C14" s="106" t="s">
        <v>60</v>
      </c>
      <c r="D14" s="79" t="s">
        <v>61</v>
      </c>
    </row>
    <row r="15" spans="1:81" ht="28.95" customHeight="1" x14ac:dyDescent="0.7">
      <c r="A15" s="122">
        <f t="shared" si="0"/>
        <v>10</v>
      </c>
      <c r="B15" s="106" t="s">
        <v>39</v>
      </c>
      <c r="C15" s="106" t="s">
        <v>62</v>
      </c>
      <c r="D15" s="79" t="s">
        <v>63</v>
      </c>
    </row>
    <row r="16" spans="1:81" ht="28.95" customHeight="1" x14ac:dyDescent="0.7">
      <c r="A16" s="122">
        <f t="shared" si="0"/>
        <v>11</v>
      </c>
      <c r="B16" s="106" t="s">
        <v>50</v>
      </c>
      <c r="C16" s="106" t="s">
        <v>64</v>
      </c>
      <c r="D16" s="79" t="s">
        <v>65</v>
      </c>
    </row>
    <row r="17" spans="1:4" ht="28.95" customHeight="1" x14ac:dyDescent="0.7">
      <c r="A17" s="122">
        <f t="shared" si="0"/>
        <v>12</v>
      </c>
      <c r="B17" s="106" t="s">
        <v>50</v>
      </c>
      <c r="C17" s="106" t="s">
        <v>66</v>
      </c>
      <c r="D17" s="79" t="s">
        <v>67</v>
      </c>
    </row>
    <row r="18" spans="1:4" ht="28.95" customHeight="1" x14ac:dyDescent="0.7">
      <c r="A18" s="122">
        <f t="shared" si="0"/>
        <v>13</v>
      </c>
      <c r="B18" s="106" t="s">
        <v>50</v>
      </c>
      <c r="C18" s="106" t="s">
        <v>68</v>
      </c>
      <c r="D18" s="79" t="s">
        <v>69</v>
      </c>
    </row>
    <row r="19" spans="1:4" ht="41.55" customHeight="1" x14ac:dyDescent="0.7">
      <c r="A19" s="122">
        <f t="shared" si="0"/>
        <v>14</v>
      </c>
      <c r="B19" s="106" t="s">
        <v>70</v>
      </c>
      <c r="C19" s="106" t="s">
        <v>71</v>
      </c>
      <c r="D19" s="79" t="s">
        <v>72</v>
      </c>
    </row>
    <row r="20" spans="1:4" ht="28.95" customHeight="1" x14ac:dyDescent="0.7">
      <c r="A20" s="122">
        <f t="shared" si="0"/>
        <v>15</v>
      </c>
      <c r="B20" s="106" t="s">
        <v>47</v>
      </c>
      <c r="C20" s="106" t="s">
        <v>73</v>
      </c>
      <c r="D20" s="78" t="s">
        <v>74</v>
      </c>
    </row>
    <row r="21" spans="1:4" ht="28.95" customHeight="1" x14ac:dyDescent="0.7">
      <c r="A21" s="122">
        <f t="shared" si="0"/>
        <v>16</v>
      </c>
      <c r="B21" s="106" t="s">
        <v>70</v>
      </c>
      <c r="C21" s="106" t="s">
        <v>75</v>
      </c>
      <c r="D21" s="79" t="s">
        <v>76</v>
      </c>
    </row>
    <row r="22" spans="1:4" ht="28.95" customHeight="1" x14ac:dyDescent="0.7">
      <c r="A22" s="122">
        <f t="shared" si="0"/>
        <v>17</v>
      </c>
      <c r="B22" s="106" t="s">
        <v>70</v>
      </c>
      <c r="C22" s="106" t="s">
        <v>77</v>
      </c>
      <c r="D22" s="78" t="s">
        <v>78</v>
      </c>
    </row>
    <row r="23" spans="1:4" ht="41.55" customHeight="1" x14ac:dyDescent="0.7">
      <c r="A23" s="122">
        <f t="shared" si="0"/>
        <v>18</v>
      </c>
      <c r="B23" s="106" t="s">
        <v>53</v>
      </c>
      <c r="C23" s="106" t="s">
        <v>79</v>
      </c>
      <c r="D23" s="79" t="s">
        <v>80</v>
      </c>
    </row>
    <row r="24" spans="1:4" ht="41.55" customHeight="1" x14ac:dyDescent="0.7">
      <c r="A24" s="122">
        <f t="shared" si="0"/>
        <v>19</v>
      </c>
      <c r="B24" s="106" t="s">
        <v>47</v>
      </c>
      <c r="C24" s="106" t="s">
        <v>81</v>
      </c>
      <c r="D24" s="79" t="s">
        <v>82</v>
      </c>
    </row>
    <row r="25" spans="1:4" ht="28.95" customHeight="1" x14ac:dyDescent="0.7">
      <c r="A25" s="122">
        <f t="shared" si="0"/>
        <v>20</v>
      </c>
      <c r="B25" s="106" t="s">
        <v>44</v>
      </c>
      <c r="C25" s="106" t="s">
        <v>83</v>
      </c>
      <c r="D25" s="79" t="s">
        <v>84</v>
      </c>
    </row>
    <row r="26" spans="1:4" ht="41.55" customHeight="1" x14ac:dyDescent="0.7">
      <c r="A26" s="122">
        <f t="shared" si="0"/>
        <v>21</v>
      </c>
      <c r="B26" s="106" t="s">
        <v>44</v>
      </c>
      <c r="C26" s="106" t="s">
        <v>85</v>
      </c>
      <c r="D26" s="79" t="s">
        <v>86</v>
      </c>
    </row>
    <row r="27" spans="1:4" ht="41.55" customHeight="1" x14ac:dyDescent="0.7">
      <c r="A27" s="122">
        <f t="shared" si="0"/>
        <v>22</v>
      </c>
      <c r="B27" s="106" t="s">
        <v>53</v>
      </c>
      <c r="C27" s="106" t="s">
        <v>87</v>
      </c>
      <c r="D27" s="79" t="s">
        <v>88</v>
      </c>
    </row>
    <row r="28" spans="1:4" ht="41.55" customHeight="1" x14ac:dyDescent="0.7">
      <c r="A28" s="122">
        <f t="shared" si="0"/>
        <v>23</v>
      </c>
      <c r="B28" s="106" t="s">
        <v>89</v>
      </c>
      <c r="C28" s="106" t="s">
        <v>90</v>
      </c>
      <c r="D28" s="79" t="s">
        <v>91</v>
      </c>
    </row>
    <row r="29" spans="1:4" ht="41.55" customHeight="1" x14ac:dyDescent="0.7">
      <c r="A29" s="122">
        <f t="shared" si="0"/>
        <v>24</v>
      </c>
      <c r="B29" s="106" t="s">
        <v>47</v>
      </c>
      <c r="C29" s="106" t="s">
        <v>92</v>
      </c>
      <c r="D29" s="78" t="s">
        <v>93</v>
      </c>
    </row>
    <row r="30" spans="1:4" ht="28.95" customHeight="1" x14ac:dyDescent="0.7">
      <c r="A30" s="122">
        <f t="shared" si="0"/>
        <v>25</v>
      </c>
      <c r="B30" s="106" t="s">
        <v>50</v>
      </c>
      <c r="C30" s="106" t="s">
        <v>94</v>
      </c>
      <c r="D30" s="79" t="s">
        <v>95</v>
      </c>
    </row>
    <row r="31" spans="1:4" ht="41.55" customHeight="1" x14ac:dyDescent="0.7">
      <c r="A31" s="122">
        <f t="shared" si="0"/>
        <v>26</v>
      </c>
      <c r="B31" s="106" t="s">
        <v>47</v>
      </c>
      <c r="C31" s="106" t="s">
        <v>96</v>
      </c>
      <c r="D31" s="79" t="s">
        <v>97</v>
      </c>
    </row>
    <row r="32" spans="1:4" ht="28.95" customHeight="1" x14ac:dyDescent="0.7">
      <c r="A32" s="122">
        <f t="shared" si="0"/>
        <v>27</v>
      </c>
      <c r="B32" s="106" t="s">
        <v>70</v>
      </c>
      <c r="C32" s="106" t="s">
        <v>98</v>
      </c>
      <c r="D32" s="79" t="s">
        <v>99</v>
      </c>
    </row>
    <row r="33" spans="1:4" ht="28.95" customHeight="1" x14ac:dyDescent="0.7">
      <c r="A33" s="122">
        <f t="shared" si="0"/>
        <v>28</v>
      </c>
      <c r="B33" s="106" t="s">
        <v>44</v>
      </c>
      <c r="C33" s="106" t="s">
        <v>100</v>
      </c>
      <c r="D33" s="79" t="s">
        <v>101</v>
      </c>
    </row>
    <row r="34" spans="1:4" ht="28.95" customHeight="1" x14ac:dyDescent="0.7">
      <c r="A34" s="122">
        <f t="shared" si="0"/>
        <v>29</v>
      </c>
      <c r="B34" s="106" t="s">
        <v>44</v>
      </c>
      <c r="C34" s="106" t="s">
        <v>102</v>
      </c>
      <c r="D34" s="79" t="s">
        <v>103</v>
      </c>
    </row>
    <row r="35" spans="1:4" ht="28.95" customHeight="1" x14ac:dyDescent="0.7">
      <c r="A35" s="122">
        <f t="shared" si="0"/>
        <v>30</v>
      </c>
      <c r="B35" s="106" t="s">
        <v>47</v>
      </c>
      <c r="C35" s="106" t="s">
        <v>104</v>
      </c>
      <c r="D35" s="79" t="s">
        <v>105</v>
      </c>
    </row>
    <row r="36" spans="1:4" ht="28.95" customHeight="1" x14ac:dyDescent="0.7">
      <c r="A36" s="122">
        <f t="shared" si="0"/>
        <v>31</v>
      </c>
      <c r="B36" s="106" t="s">
        <v>47</v>
      </c>
      <c r="C36" s="106" t="s">
        <v>106</v>
      </c>
      <c r="D36" s="79" t="s">
        <v>107</v>
      </c>
    </row>
    <row r="37" spans="1:4" ht="41.55" customHeight="1" x14ac:dyDescent="0.7">
      <c r="A37" s="122">
        <f t="shared" si="0"/>
        <v>32</v>
      </c>
      <c r="B37" s="106" t="s">
        <v>47</v>
      </c>
      <c r="C37" s="106" t="s">
        <v>108</v>
      </c>
      <c r="D37" s="79" t="s">
        <v>109</v>
      </c>
    </row>
    <row r="38" spans="1:4" ht="28.95" customHeight="1" x14ac:dyDescent="0.7">
      <c r="A38" s="122">
        <f t="shared" ref="A38:A69" si="1">ROW()-5</f>
        <v>33</v>
      </c>
      <c r="B38" s="106" t="s">
        <v>47</v>
      </c>
      <c r="C38" s="106" t="s">
        <v>110</v>
      </c>
      <c r="D38" s="79" t="s">
        <v>111</v>
      </c>
    </row>
    <row r="39" spans="1:4" ht="28.95" customHeight="1" x14ac:dyDescent="0.7">
      <c r="A39" s="122">
        <f t="shared" si="1"/>
        <v>34</v>
      </c>
      <c r="B39" s="106" t="s">
        <v>47</v>
      </c>
      <c r="C39" s="106" t="s">
        <v>112</v>
      </c>
      <c r="D39" s="78" t="s">
        <v>113</v>
      </c>
    </row>
    <row r="40" spans="1:4" ht="28.95" customHeight="1" x14ac:dyDescent="0.7">
      <c r="A40" s="122">
        <f t="shared" si="1"/>
        <v>35</v>
      </c>
      <c r="B40" s="106" t="s">
        <v>44</v>
      </c>
      <c r="C40" s="106" t="s">
        <v>114</v>
      </c>
      <c r="D40" s="79" t="s">
        <v>115</v>
      </c>
    </row>
    <row r="41" spans="1:4" ht="28.95" customHeight="1" x14ac:dyDescent="0.7">
      <c r="A41" s="122">
        <f t="shared" si="1"/>
        <v>36</v>
      </c>
      <c r="B41" s="106" t="s">
        <v>70</v>
      </c>
      <c r="C41" s="106" t="s">
        <v>116</v>
      </c>
      <c r="D41" s="79" t="s">
        <v>117</v>
      </c>
    </row>
    <row r="42" spans="1:4" ht="28.95" customHeight="1" x14ac:dyDescent="0.7">
      <c r="A42" s="122">
        <f t="shared" si="1"/>
        <v>37</v>
      </c>
      <c r="B42" s="106" t="s">
        <v>50</v>
      </c>
      <c r="C42" s="106" t="s">
        <v>118</v>
      </c>
      <c r="D42" s="79" t="s">
        <v>119</v>
      </c>
    </row>
    <row r="43" spans="1:4" ht="28.95" customHeight="1" x14ac:dyDescent="0.7">
      <c r="A43" s="122">
        <f t="shared" si="1"/>
        <v>38</v>
      </c>
      <c r="B43" s="106" t="s">
        <v>120</v>
      </c>
      <c r="C43" s="106" t="s">
        <v>121</v>
      </c>
      <c r="D43" s="79" t="s">
        <v>122</v>
      </c>
    </row>
    <row r="44" spans="1:4" ht="28.95" customHeight="1" x14ac:dyDescent="0.7">
      <c r="A44" s="122">
        <f t="shared" si="1"/>
        <v>39</v>
      </c>
      <c r="B44" s="106" t="s">
        <v>53</v>
      </c>
      <c r="C44" s="106" t="s">
        <v>123</v>
      </c>
      <c r="D44" s="79" t="s">
        <v>124</v>
      </c>
    </row>
    <row r="45" spans="1:4" ht="28.95" customHeight="1" x14ac:dyDescent="0.7">
      <c r="A45" s="122">
        <f t="shared" si="1"/>
        <v>40</v>
      </c>
      <c r="B45" s="106" t="s">
        <v>47</v>
      </c>
      <c r="C45" s="106" t="s">
        <v>125</v>
      </c>
      <c r="D45" s="79" t="s">
        <v>126</v>
      </c>
    </row>
    <row r="46" spans="1:4" ht="28.95" customHeight="1" x14ac:dyDescent="0.7">
      <c r="A46" s="122">
        <f t="shared" si="1"/>
        <v>41</v>
      </c>
      <c r="B46" s="106"/>
      <c r="C46" s="106"/>
      <c r="D46" s="79"/>
    </row>
    <row r="47" spans="1:4" ht="28.95" customHeight="1" x14ac:dyDescent="0.7">
      <c r="A47" s="122">
        <f t="shared" si="1"/>
        <v>42</v>
      </c>
      <c r="B47" s="106"/>
      <c r="C47" s="106"/>
      <c r="D47" s="79"/>
    </row>
    <row r="48" spans="1:4" ht="28.95" customHeight="1" x14ac:dyDescent="0.7">
      <c r="A48" s="122">
        <f t="shared" si="1"/>
        <v>43</v>
      </c>
      <c r="B48" s="106"/>
      <c r="C48" s="106"/>
      <c r="D48" s="79"/>
    </row>
    <row r="49" spans="1:4" ht="28.95" customHeight="1" x14ac:dyDescent="0.7">
      <c r="A49" s="122">
        <f t="shared" si="1"/>
        <v>44</v>
      </c>
      <c r="B49" s="106"/>
      <c r="C49" s="106"/>
      <c r="D49" s="79"/>
    </row>
    <row r="50" spans="1:4" ht="28.95" customHeight="1" x14ac:dyDescent="0.7">
      <c r="A50" s="122">
        <f t="shared" si="1"/>
        <v>45</v>
      </c>
      <c r="B50" s="106"/>
      <c r="C50" s="106"/>
      <c r="D50" s="79"/>
    </row>
    <row r="51" spans="1:4" ht="28.95" customHeight="1" x14ac:dyDescent="0.7">
      <c r="A51" s="122">
        <f t="shared" si="1"/>
        <v>46</v>
      </c>
      <c r="B51" s="106"/>
      <c r="C51" s="106"/>
      <c r="D51" s="79"/>
    </row>
    <row r="52" spans="1:4" ht="28.95" customHeight="1" x14ac:dyDescent="0.7">
      <c r="A52" s="122">
        <f t="shared" si="1"/>
        <v>47</v>
      </c>
      <c r="B52" s="106"/>
      <c r="C52" s="106"/>
      <c r="D52" s="79"/>
    </row>
    <row r="53" spans="1:4" ht="28.95" customHeight="1" x14ac:dyDescent="0.7">
      <c r="A53" s="122">
        <f t="shared" si="1"/>
        <v>48</v>
      </c>
      <c r="B53" s="106"/>
      <c r="C53" s="106"/>
      <c r="D53" s="79"/>
    </row>
    <row r="54" spans="1:4" ht="28.95" customHeight="1" x14ac:dyDescent="0.7">
      <c r="A54" s="122">
        <f t="shared" si="1"/>
        <v>49</v>
      </c>
      <c r="B54" s="106"/>
      <c r="C54" s="106"/>
      <c r="D54" s="79"/>
    </row>
    <row r="55" spans="1:4" ht="28.95" customHeight="1" x14ac:dyDescent="0.7">
      <c r="A55" s="122">
        <f t="shared" si="1"/>
        <v>50</v>
      </c>
      <c r="B55" s="106"/>
      <c r="C55" s="106"/>
      <c r="D55" s="79"/>
    </row>
    <row r="56" spans="1:4" ht="28.95" customHeight="1" x14ac:dyDescent="0.7">
      <c r="A56" s="122">
        <f t="shared" si="1"/>
        <v>51</v>
      </c>
      <c r="B56" s="106"/>
      <c r="C56" s="106"/>
      <c r="D56" s="79"/>
    </row>
    <row r="57" spans="1:4" ht="28.95" customHeight="1" x14ac:dyDescent="0.7">
      <c r="A57" s="122">
        <f t="shared" si="1"/>
        <v>52</v>
      </c>
      <c r="B57" s="106"/>
      <c r="C57" s="106"/>
      <c r="D57" s="79"/>
    </row>
    <row r="58" spans="1:4" ht="28.95" customHeight="1" x14ac:dyDescent="0.7">
      <c r="A58" s="122">
        <f t="shared" si="1"/>
        <v>53</v>
      </c>
      <c r="B58" s="106"/>
      <c r="C58" s="106"/>
      <c r="D58" s="79"/>
    </row>
    <row r="59" spans="1:4" ht="28.95" customHeight="1" x14ac:dyDescent="0.7">
      <c r="A59" s="122">
        <f t="shared" si="1"/>
        <v>54</v>
      </c>
      <c r="B59" s="106"/>
      <c r="C59" s="106"/>
      <c r="D59" s="79"/>
    </row>
    <row r="60" spans="1:4" ht="28.95" customHeight="1" x14ac:dyDescent="0.7">
      <c r="A60" s="122">
        <f t="shared" si="1"/>
        <v>55</v>
      </c>
      <c r="B60" s="106"/>
      <c r="C60" s="106"/>
      <c r="D60" s="79"/>
    </row>
    <row r="61" spans="1:4" ht="28.95" customHeight="1" x14ac:dyDescent="0.7">
      <c r="A61" s="122">
        <f t="shared" si="1"/>
        <v>56</v>
      </c>
      <c r="B61" s="106"/>
      <c r="C61" s="106"/>
      <c r="D61" s="79"/>
    </row>
    <row r="62" spans="1:4" ht="28.95" customHeight="1" x14ac:dyDescent="0.7">
      <c r="A62" s="122">
        <f t="shared" si="1"/>
        <v>57</v>
      </c>
      <c r="B62" s="106"/>
      <c r="C62" s="106"/>
      <c r="D62" s="79"/>
    </row>
    <row r="63" spans="1:4" ht="28.95" customHeight="1" x14ac:dyDescent="0.7">
      <c r="A63" s="122">
        <f t="shared" si="1"/>
        <v>58</v>
      </c>
      <c r="B63" s="106"/>
      <c r="C63" s="106"/>
      <c r="D63" s="79"/>
    </row>
    <row r="64" spans="1:4" ht="28.95" customHeight="1" x14ac:dyDescent="0.7">
      <c r="A64" s="122">
        <f t="shared" si="1"/>
        <v>59</v>
      </c>
      <c r="B64" s="106"/>
      <c r="C64" s="106"/>
      <c r="D64" s="79"/>
    </row>
    <row r="65" spans="1:4" ht="28.95" customHeight="1" x14ac:dyDescent="0.7">
      <c r="A65" s="122">
        <f t="shared" si="1"/>
        <v>60</v>
      </c>
      <c r="B65" s="106"/>
      <c r="C65" s="106"/>
      <c r="D65" s="79"/>
    </row>
    <row r="66" spans="1:4" ht="28.95" customHeight="1" x14ac:dyDescent="0.7">
      <c r="A66" s="122">
        <f t="shared" si="1"/>
        <v>61</v>
      </c>
      <c r="B66" s="106"/>
      <c r="C66" s="106"/>
      <c r="D66" s="79"/>
    </row>
    <row r="67" spans="1:4" ht="28.95" customHeight="1" x14ac:dyDescent="0.7">
      <c r="A67" s="122">
        <f t="shared" si="1"/>
        <v>62</v>
      </c>
      <c r="B67" s="106"/>
      <c r="C67" s="106"/>
      <c r="D67" s="79"/>
    </row>
    <row r="68" spans="1:4" ht="28.95" customHeight="1" x14ac:dyDescent="0.7">
      <c r="A68" s="122">
        <f t="shared" si="1"/>
        <v>63</v>
      </c>
      <c r="B68" s="106"/>
      <c r="C68" s="106"/>
      <c r="D68" s="79"/>
    </row>
    <row r="69" spans="1:4" ht="28.95" customHeight="1" x14ac:dyDescent="0.7">
      <c r="A69" s="122">
        <f t="shared" si="1"/>
        <v>64</v>
      </c>
      <c r="B69" s="106"/>
      <c r="C69" s="106"/>
      <c r="D69" s="79"/>
    </row>
    <row r="70" spans="1:4" ht="28.95" customHeight="1" x14ac:dyDescent="0.7">
      <c r="A70" s="122">
        <f t="shared" ref="A70:A105" si="2">ROW()-5</f>
        <v>65</v>
      </c>
      <c r="B70" s="106"/>
      <c r="C70" s="106"/>
      <c r="D70" s="79"/>
    </row>
    <row r="71" spans="1:4" ht="28.95" customHeight="1" x14ac:dyDescent="0.7">
      <c r="A71" s="122">
        <f t="shared" si="2"/>
        <v>66</v>
      </c>
      <c r="B71" s="106"/>
      <c r="C71" s="106"/>
      <c r="D71" s="79"/>
    </row>
    <row r="72" spans="1:4" ht="28.95" customHeight="1" x14ac:dyDescent="0.7">
      <c r="A72" s="122">
        <f t="shared" si="2"/>
        <v>67</v>
      </c>
      <c r="B72" s="106"/>
      <c r="C72" s="106"/>
      <c r="D72" s="79"/>
    </row>
    <row r="73" spans="1:4" ht="28.95" customHeight="1" x14ac:dyDescent="0.7">
      <c r="A73" s="122">
        <f t="shared" si="2"/>
        <v>68</v>
      </c>
      <c r="B73" s="106"/>
      <c r="C73" s="106"/>
      <c r="D73" s="79"/>
    </row>
    <row r="74" spans="1:4" ht="28.95" customHeight="1" x14ac:dyDescent="0.7">
      <c r="A74" s="122">
        <f t="shared" si="2"/>
        <v>69</v>
      </c>
      <c r="B74" s="106"/>
      <c r="C74" s="106"/>
      <c r="D74" s="79"/>
    </row>
    <row r="75" spans="1:4" ht="28.95" customHeight="1" x14ac:dyDescent="0.7">
      <c r="A75" s="122">
        <f t="shared" si="2"/>
        <v>70</v>
      </c>
      <c r="B75" s="106"/>
      <c r="C75" s="106"/>
      <c r="D75" s="79"/>
    </row>
    <row r="76" spans="1:4" ht="28.95" customHeight="1" x14ac:dyDescent="0.7">
      <c r="A76" s="122">
        <f t="shared" si="2"/>
        <v>71</v>
      </c>
      <c r="B76" s="106"/>
      <c r="C76" s="106"/>
      <c r="D76" s="79"/>
    </row>
    <row r="77" spans="1:4" ht="28.95" customHeight="1" x14ac:dyDescent="0.7">
      <c r="A77" s="122">
        <f t="shared" si="2"/>
        <v>72</v>
      </c>
      <c r="B77" s="106"/>
      <c r="C77" s="106"/>
      <c r="D77" s="79"/>
    </row>
    <row r="78" spans="1:4" ht="28.95" customHeight="1" x14ac:dyDescent="0.7">
      <c r="A78" s="122">
        <f t="shared" si="2"/>
        <v>73</v>
      </c>
      <c r="B78" s="106"/>
      <c r="C78" s="106"/>
      <c r="D78" s="79"/>
    </row>
    <row r="79" spans="1:4" ht="28.95" customHeight="1" x14ac:dyDescent="0.7">
      <c r="A79" s="122">
        <f t="shared" si="2"/>
        <v>74</v>
      </c>
      <c r="B79" s="106"/>
      <c r="C79" s="106"/>
      <c r="D79" s="79"/>
    </row>
    <row r="80" spans="1:4" ht="28.95" customHeight="1" x14ac:dyDescent="0.7">
      <c r="A80" s="122">
        <f t="shared" si="2"/>
        <v>75</v>
      </c>
      <c r="B80" s="106"/>
      <c r="C80" s="106"/>
      <c r="D80" s="79"/>
    </row>
    <row r="81" spans="1:4" ht="28.95" customHeight="1" x14ac:dyDescent="0.7">
      <c r="A81" s="122">
        <f t="shared" si="2"/>
        <v>76</v>
      </c>
      <c r="B81" s="106"/>
      <c r="C81" s="106"/>
      <c r="D81" s="79"/>
    </row>
    <row r="82" spans="1:4" ht="28.95" customHeight="1" x14ac:dyDescent="0.7">
      <c r="A82" s="122">
        <f t="shared" si="2"/>
        <v>77</v>
      </c>
      <c r="B82" s="106"/>
      <c r="C82" s="106"/>
      <c r="D82" s="79"/>
    </row>
    <row r="83" spans="1:4" ht="28.95" customHeight="1" x14ac:dyDescent="0.7">
      <c r="A83" s="122">
        <f t="shared" si="2"/>
        <v>78</v>
      </c>
      <c r="B83" s="106"/>
      <c r="C83" s="106"/>
      <c r="D83" s="79"/>
    </row>
    <row r="84" spans="1:4" ht="28.95" customHeight="1" x14ac:dyDescent="0.7">
      <c r="A84" s="122">
        <f t="shared" si="2"/>
        <v>79</v>
      </c>
      <c r="B84" s="106"/>
      <c r="C84" s="106"/>
      <c r="D84" s="79"/>
    </row>
    <row r="85" spans="1:4" ht="28.95" customHeight="1" x14ac:dyDescent="0.7">
      <c r="A85" s="122">
        <f t="shared" si="2"/>
        <v>80</v>
      </c>
      <c r="B85" s="106"/>
      <c r="C85" s="106"/>
      <c r="D85" s="79"/>
    </row>
    <row r="86" spans="1:4" ht="28.95" customHeight="1" x14ac:dyDescent="0.7">
      <c r="A86" s="122">
        <f t="shared" si="2"/>
        <v>81</v>
      </c>
      <c r="B86" s="106"/>
      <c r="C86" s="106"/>
      <c r="D86" s="79"/>
    </row>
    <row r="87" spans="1:4" ht="28.95" customHeight="1" x14ac:dyDescent="0.7">
      <c r="A87" s="122">
        <f t="shared" si="2"/>
        <v>82</v>
      </c>
      <c r="B87" s="106"/>
      <c r="C87" s="106"/>
      <c r="D87" s="79"/>
    </row>
    <row r="88" spans="1:4" ht="28.95" customHeight="1" x14ac:dyDescent="0.7">
      <c r="A88" s="122">
        <f t="shared" si="2"/>
        <v>83</v>
      </c>
      <c r="B88" s="106"/>
      <c r="C88" s="106"/>
      <c r="D88" s="79"/>
    </row>
    <row r="89" spans="1:4" ht="28.95" customHeight="1" x14ac:dyDescent="0.7">
      <c r="A89" s="122">
        <f t="shared" si="2"/>
        <v>84</v>
      </c>
      <c r="B89" s="106"/>
      <c r="C89" s="106"/>
      <c r="D89" s="79"/>
    </row>
    <row r="90" spans="1:4" ht="28.95" customHeight="1" x14ac:dyDescent="0.7">
      <c r="A90" s="122">
        <f t="shared" si="2"/>
        <v>85</v>
      </c>
      <c r="B90" s="106"/>
      <c r="C90" s="106"/>
      <c r="D90" s="79"/>
    </row>
    <row r="91" spans="1:4" ht="28.95" customHeight="1" x14ac:dyDescent="0.7">
      <c r="A91" s="122">
        <f t="shared" si="2"/>
        <v>86</v>
      </c>
      <c r="B91" s="106"/>
      <c r="C91" s="106"/>
      <c r="D91" s="79"/>
    </row>
    <row r="92" spans="1:4" ht="28.95" customHeight="1" x14ac:dyDescent="0.7">
      <c r="A92" s="122">
        <f t="shared" si="2"/>
        <v>87</v>
      </c>
      <c r="B92" s="106"/>
      <c r="C92" s="106"/>
      <c r="D92" s="79"/>
    </row>
    <row r="93" spans="1:4" ht="28.95" customHeight="1" x14ac:dyDescent="0.7">
      <c r="A93" s="122">
        <f t="shared" si="2"/>
        <v>88</v>
      </c>
      <c r="B93" s="106"/>
      <c r="C93" s="106"/>
      <c r="D93" s="79"/>
    </row>
    <row r="94" spans="1:4" ht="28.95" customHeight="1" x14ac:dyDescent="0.7">
      <c r="A94" s="122">
        <f t="shared" si="2"/>
        <v>89</v>
      </c>
      <c r="B94" s="106"/>
      <c r="C94" s="106"/>
      <c r="D94" s="79"/>
    </row>
    <row r="95" spans="1:4" ht="28.95" customHeight="1" x14ac:dyDescent="0.7">
      <c r="A95" s="122">
        <f t="shared" si="2"/>
        <v>90</v>
      </c>
      <c r="B95" s="106"/>
      <c r="C95" s="106"/>
      <c r="D95" s="79"/>
    </row>
    <row r="96" spans="1:4" ht="28.95" customHeight="1" x14ac:dyDescent="0.7">
      <c r="A96" s="122">
        <f t="shared" si="2"/>
        <v>91</v>
      </c>
      <c r="B96" s="106"/>
      <c r="C96" s="106"/>
      <c r="D96" s="79"/>
    </row>
    <row r="97" spans="1:4" ht="28.95" customHeight="1" x14ac:dyDescent="0.7">
      <c r="A97" s="122">
        <f t="shared" si="2"/>
        <v>92</v>
      </c>
      <c r="B97" s="106"/>
      <c r="C97" s="106"/>
      <c r="D97" s="79"/>
    </row>
    <row r="98" spans="1:4" ht="28.95" customHeight="1" x14ac:dyDescent="0.7">
      <c r="A98" s="122">
        <f t="shared" si="2"/>
        <v>93</v>
      </c>
      <c r="B98" s="106"/>
      <c r="C98" s="106"/>
      <c r="D98" s="79"/>
    </row>
    <row r="99" spans="1:4" ht="28.95" customHeight="1" x14ac:dyDescent="0.7">
      <c r="A99" s="122">
        <f t="shared" si="2"/>
        <v>94</v>
      </c>
      <c r="B99" s="106"/>
      <c r="C99" s="106"/>
      <c r="D99" s="79"/>
    </row>
    <row r="100" spans="1:4" ht="28.95" customHeight="1" x14ac:dyDescent="0.7">
      <c r="A100" s="122">
        <f t="shared" si="2"/>
        <v>95</v>
      </c>
      <c r="B100" s="106"/>
      <c r="C100" s="106"/>
      <c r="D100" s="79"/>
    </row>
    <row r="101" spans="1:4" ht="28.95" customHeight="1" x14ac:dyDescent="0.7">
      <c r="A101" s="122">
        <f t="shared" si="2"/>
        <v>96</v>
      </c>
      <c r="B101" s="106"/>
      <c r="C101" s="106"/>
      <c r="D101" s="79"/>
    </row>
    <row r="102" spans="1:4" ht="28.95" customHeight="1" x14ac:dyDescent="0.7">
      <c r="A102" s="122">
        <f t="shared" si="2"/>
        <v>97</v>
      </c>
      <c r="B102" s="106"/>
      <c r="C102" s="106"/>
      <c r="D102" s="79"/>
    </row>
    <row r="103" spans="1:4" ht="28.95" customHeight="1" x14ac:dyDescent="0.7">
      <c r="A103" s="122">
        <f t="shared" si="2"/>
        <v>98</v>
      </c>
      <c r="B103" s="106"/>
      <c r="C103" s="106"/>
      <c r="D103" s="79"/>
    </row>
    <row r="104" spans="1:4" ht="28.95" customHeight="1" x14ac:dyDescent="0.7">
      <c r="A104" s="122">
        <f t="shared" si="2"/>
        <v>99</v>
      </c>
      <c r="B104" s="106"/>
      <c r="C104" s="106"/>
      <c r="D104" s="79"/>
    </row>
    <row r="105" spans="1:4" ht="28.95" customHeight="1" x14ac:dyDescent="0.7">
      <c r="A105" s="122">
        <f t="shared" si="2"/>
        <v>100</v>
      </c>
      <c r="B105" s="106"/>
      <c r="C105" s="106"/>
      <c r="D105" s="79"/>
    </row>
    <row r="106" spans="1:4" ht="13.95" customHeight="1" x14ac:dyDescent="0.7"/>
    <row r="107" spans="1:4" ht="13.95" customHeight="1" x14ac:dyDescent="0.7"/>
    <row r="108" spans="1:4" ht="13.95" customHeight="1" x14ac:dyDescent="0.7"/>
    <row r="109" spans="1:4" ht="13.95" customHeight="1" x14ac:dyDescent="0.7"/>
    <row r="110" spans="1:4" ht="13.95" customHeight="1" x14ac:dyDescent="0.7"/>
    <row r="111" spans="1:4" ht="13.95" customHeight="1" x14ac:dyDescent="0.7"/>
    <row r="112" spans="1:4"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ifh5sQh95IC4F9bsl9QZPtxdTETs60WAwKhNqjTWtSCeXpBgxnWMgdVDCk80BeZWIrpBOqUmxyuUM5Mm82xLXQ==" saltValue="RjBrc8xW+a/Wvkmy1ftU2Q=="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3" sqref="E3"/>
    </sheetView>
  </sheetViews>
  <sheetFormatPr defaultColWidth="8.69140625" defaultRowHeight="21" x14ac:dyDescent="0.7"/>
  <cols>
    <col min="1" max="1" width="5.69140625" style="85" customWidth="1"/>
    <col min="2" max="2" width="12.69140625" style="115" customWidth="1"/>
    <col min="3" max="3" width="40.69140625" style="82" customWidth="1"/>
    <col min="4" max="4" width="11.69140625" style="83" customWidth="1"/>
    <col min="5" max="5" width="11.69140625" style="81" customWidth="1"/>
    <col min="6" max="6" width="33.69140625" style="82" customWidth="1"/>
    <col min="7" max="7" width="12.69140625" style="84" customWidth="1"/>
    <col min="8" max="8" width="44.69140625" style="82" customWidth="1"/>
    <col min="9" max="9" width="8.69140625" style="208"/>
    <col min="10" max="10" width="8.69140625" style="74"/>
    <col min="11" max="81" width="8.69140625" style="208"/>
    <col min="82" max="16384" width="8.69140625" style="130"/>
  </cols>
  <sheetData>
    <row r="1" spans="1:81" ht="21" customHeight="1" x14ac:dyDescent="0.7">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7">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7">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5" customHeight="1" x14ac:dyDescent="0.7">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05" customHeight="1" x14ac:dyDescent="0.7">
      <c r="A5" s="182" t="s">
        <v>5</v>
      </c>
      <c r="B5" s="183" t="s">
        <v>127</v>
      </c>
      <c r="C5" s="184" t="s">
        <v>128</v>
      </c>
      <c r="D5" s="184" t="s">
        <v>129</v>
      </c>
      <c r="E5" s="185" t="s">
        <v>130</v>
      </c>
      <c r="F5" s="184" t="s">
        <v>131</v>
      </c>
      <c r="G5" s="186" t="s">
        <v>132</v>
      </c>
      <c r="H5" s="184" t="s">
        <v>133</v>
      </c>
    </row>
    <row r="6" spans="1:81" ht="28.8" customHeight="1" x14ac:dyDescent="0.7">
      <c r="A6" s="179">
        <f t="shared" ref="A6:A69" si="0">ROW()-5</f>
        <v>1</v>
      </c>
      <c r="B6" s="209" t="s">
        <v>134</v>
      </c>
      <c r="C6" s="180" t="s">
        <v>135</v>
      </c>
      <c r="D6" s="210" t="s">
        <v>136</v>
      </c>
      <c r="E6" s="211"/>
      <c r="F6" s="180"/>
      <c r="G6" s="212"/>
      <c r="H6" s="180"/>
      <c r="I6" s="213"/>
    </row>
    <row r="7" spans="1:81" ht="54.6" customHeight="1" x14ac:dyDescent="0.7">
      <c r="A7" s="179">
        <f t="shared" si="0"/>
        <v>2</v>
      </c>
      <c r="B7" s="209" t="s">
        <v>137</v>
      </c>
      <c r="C7" s="180" t="s">
        <v>138</v>
      </c>
      <c r="D7" s="210" t="s">
        <v>136</v>
      </c>
      <c r="E7" s="211"/>
      <c r="F7" s="180"/>
      <c r="G7" s="212"/>
      <c r="H7" s="180"/>
      <c r="I7" s="213"/>
    </row>
    <row r="8" spans="1:81" ht="28.8" customHeight="1" x14ac:dyDescent="0.7">
      <c r="A8" s="179">
        <f t="shared" si="0"/>
        <v>3</v>
      </c>
      <c r="B8" s="331" t="s">
        <v>139</v>
      </c>
      <c r="C8" s="334" t="s">
        <v>140</v>
      </c>
      <c r="D8" s="334" t="s">
        <v>136</v>
      </c>
      <c r="E8" s="211" t="s">
        <v>141</v>
      </c>
      <c r="F8" s="180" t="s">
        <v>142</v>
      </c>
      <c r="G8" s="214">
        <v>45784.895196759258</v>
      </c>
      <c r="H8" s="180"/>
      <c r="I8" s="213"/>
    </row>
    <row r="9" spans="1:81" ht="41.4" customHeight="1" x14ac:dyDescent="0.7">
      <c r="A9" s="179">
        <f t="shared" si="0"/>
        <v>4</v>
      </c>
      <c r="B9" s="332"/>
      <c r="C9" s="335"/>
      <c r="D9" s="335"/>
      <c r="E9" s="211" t="s">
        <v>143</v>
      </c>
      <c r="F9" s="180" t="s">
        <v>144</v>
      </c>
      <c r="G9" s="214">
        <v>45784.895196759258</v>
      </c>
      <c r="H9" s="180"/>
      <c r="I9" s="213"/>
    </row>
    <row r="10" spans="1:81" ht="41.4" customHeight="1" x14ac:dyDescent="0.7">
      <c r="A10" s="179">
        <f t="shared" si="0"/>
        <v>5</v>
      </c>
      <c r="B10" s="332"/>
      <c r="C10" s="335"/>
      <c r="D10" s="335"/>
      <c r="E10" s="211" t="s">
        <v>145</v>
      </c>
      <c r="F10" s="180" t="s">
        <v>146</v>
      </c>
      <c r="G10" s="214">
        <v>45784.895196759258</v>
      </c>
      <c r="H10" s="180"/>
      <c r="I10" s="213"/>
    </row>
    <row r="11" spans="1:81" ht="28.8" customHeight="1" x14ac:dyDescent="0.7">
      <c r="A11" s="179">
        <f t="shared" si="0"/>
        <v>6</v>
      </c>
      <c r="B11" s="332"/>
      <c r="C11" s="335"/>
      <c r="D11" s="335"/>
      <c r="E11" s="211" t="s">
        <v>147</v>
      </c>
      <c r="F11" s="180" t="s">
        <v>148</v>
      </c>
      <c r="G11" s="214">
        <v>45784.895196759258</v>
      </c>
      <c r="H11" s="180"/>
      <c r="I11" s="213"/>
    </row>
    <row r="12" spans="1:81" ht="41.4" customHeight="1" x14ac:dyDescent="0.7">
      <c r="A12" s="179">
        <f t="shared" si="0"/>
        <v>7</v>
      </c>
      <c r="B12" s="332"/>
      <c r="C12" s="335"/>
      <c r="D12" s="335"/>
      <c r="E12" s="211" t="s">
        <v>149</v>
      </c>
      <c r="F12" s="180" t="s">
        <v>150</v>
      </c>
      <c r="G12" s="214">
        <v>45784.895196759258</v>
      </c>
      <c r="H12" s="180"/>
      <c r="I12" s="213"/>
    </row>
    <row r="13" spans="1:81" ht="54.6" customHeight="1" x14ac:dyDescent="0.7">
      <c r="A13" s="179">
        <f t="shared" si="0"/>
        <v>8</v>
      </c>
      <c r="B13" s="332"/>
      <c r="C13" s="335"/>
      <c r="D13" s="335"/>
      <c r="E13" s="211" t="s">
        <v>151</v>
      </c>
      <c r="F13" s="180" t="s">
        <v>152</v>
      </c>
      <c r="G13" s="214">
        <v>45784.895196759258</v>
      </c>
      <c r="H13" s="180"/>
      <c r="I13" s="213"/>
    </row>
    <row r="14" spans="1:81" ht="41.4" customHeight="1" x14ac:dyDescent="0.7">
      <c r="A14" s="179">
        <f t="shared" si="0"/>
        <v>9</v>
      </c>
      <c r="B14" s="332"/>
      <c r="C14" s="335"/>
      <c r="D14" s="335"/>
      <c r="E14" s="211" t="s">
        <v>153</v>
      </c>
      <c r="F14" s="180" t="s">
        <v>154</v>
      </c>
      <c r="G14" s="214">
        <v>45784.895196759258</v>
      </c>
      <c r="H14" s="180"/>
      <c r="I14" s="213"/>
    </row>
    <row r="15" spans="1:81" ht="54.6" customHeight="1" x14ac:dyDescent="0.7">
      <c r="A15" s="179">
        <f t="shared" si="0"/>
        <v>10</v>
      </c>
      <c r="B15" s="333"/>
      <c r="C15" s="336"/>
      <c r="D15" s="336"/>
      <c r="E15" s="211" t="s">
        <v>155</v>
      </c>
      <c r="F15" s="180" t="s">
        <v>156</v>
      </c>
      <c r="G15" s="214">
        <v>45784.895196759258</v>
      </c>
      <c r="H15" s="180"/>
      <c r="I15" s="213"/>
    </row>
    <row r="16" spans="1:81" ht="41.4" customHeight="1" x14ac:dyDescent="0.7">
      <c r="A16" s="179">
        <f t="shared" si="0"/>
        <v>11</v>
      </c>
      <c r="B16" s="331" t="s">
        <v>157</v>
      </c>
      <c r="C16" s="334" t="s">
        <v>158</v>
      </c>
      <c r="D16" s="334" t="s">
        <v>136</v>
      </c>
      <c r="E16" s="211" t="s">
        <v>159</v>
      </c>
      <c r="F16" s="180" t="s">
        <v>160</v>
      </c>
      <c r="G16" s="214">
        <v>45784.895196759258</v>
      </c>
      <c r="H16" s="180"/>
      <c r="I16" s="213"/>
    </row>
    <row r="17" spans="1:9" ht="41.4" customHeight="1" x14ac:dyDescent="0.7">
      <c r="A17" s="179">
        <f t="shared" si="0"/>
        <v>12</v>
      </c>
      <c r="B17" s="332"/>
      <c r="C17" s="335"/>
      <c r="D17" s="335"/>
      <c r="E17" s="211" t="s">
        <v>161</v>
      </c>
      <c r="F17" s="180" t="s">
        <v>162</v>
      </c>
      <c r="G17" s="214">
        <v>45784.895196759258</v>
      </c>
      <c r="H17" s="180"/>
      <c r="I17" s="213"/>
    </row>
    <row r="18" spans="1:9" ht="41.4" customHeight="1" x14ac:dyDescent="0.7">
      <c r="A18" s="179">
        <f t="shared" si="0"/>
        <v>13</v>
      </c>
      <c r="B18" s="332"/>
      <c r="C18" s="335"/>
      <c r="D18" s="335"/>
      <c r="E18" s="211" t="s">
        <v>163</v>
      </c>
      <c r="F18" s="180" t="s">
        <v>164</v>
      </c>
      <c r="G18" s="214">
        <v>45784.895196759258</v>
      </c>
      <c r="H18" s="180"/>
      <c r="I18" s="213"/>
    </row>
    <row r="19" spans="1:9" ht="41.4" customHeight="1" x14ac:dyDescent="0.7">
      <c r="A19" s="179">
        <f t="shared" si="0"/>
        <v>14</v>
      </c>
      <c r="B19" s="333"/>
      <c r="C19" s="336"/>
      <c r="D19" s="336"/>
      <c r="E19" s="211" t="s">
        <v>165</v>
      </c>
      <c r="F19" s="180" t="s">
        <v>160</v>
      </c>
      <c r="G19" s="214">
        <v>45784.895196759258</v>
      </c>
      <c r="H19" s="180"/>
      <c r="I19" s="213"/>
    </row>
    <row r="20" spans="1:9" ht="41.4" customHeight="1" x14ac:dyDescent="0.7">
      <c r="A20" s="179">
        <f t="shared" si="0"/>
        <v>15</v>
      </c>
      <c r="B20" s="209" t="s">
        <v>166</v>
      </c>
      <c r="C20" s="180" t="s">
        <v>167</v>
      </c>
      <c r="D20" s="210" t="s">
        <v>136</v>
      </c>
      <c r="E20" s="211"/>
      <c r="F20" s="180"/>
      <c r="G20" s="212"/>
      <c r="H20" s="180"/>
      <c r="I20" s="213"/>
    </row>
    <row r="21" spans="1:9" ht="54.6" customHeight="1" x14ac:dyDescent="0.7">
      <c r="A21" s="179">
        <f t="shared" si="0"/>
        <v>16</v>
      </c>
      <c r="B21" s="331" t="s">
        <v>168</v>
      </c>
      <c r="C21" s="334" t="s">
        <v>169</v>
      </c>
      <c r="D21" s="334" t="s">
        <v>136</v>
      </c>
      <c r="E21" s="211" t="s">
        <v>170</v>
      </c>
      <c r="F21" s="180" t="s">
        <v>171</v>
      </c>
      <c r="G21" s="214">
        <v>45784.895196759258</v>
      </c>
      <c r="H21" s="180"/>
      <c r="I21" s="213"/>
    </row>
    <row r="22" spans="1:9" ht="54.6" customHeight="1" x14ac:dyDescent="0.7">
      <c r="A22" s="179">
        <f t="shared" si="0"/>
        <v>17</v>
      </c>
      <c r="B22" s="332"/>
      <c r="C22" s="335"/>
      <c r="D22" s="335"/>
      <c r="E22" s="211" t="s">
        <v>172</v>
      </c>
      <c r="F22" s="180" t="s">
        <v>173</v>
      </c>
      <c r="G22" s="214">
        <v>45784.895196759258</v>
      </c>
      <c r="H22" s="180"/>
      <c r="I22" s="213"/>
    </row>
    <row r="23" spans="1:9" ht="54.6" customHeight="1" x14ac:dyDescent="0.7">
      <c r="A23" s="179">
        <f t="shared" si="0"/>
        <v>18</v>
      </c>
      <c r="B23" s="332"/>
      <c r="C23" s="335"/>
      <c r="D23" s="335"/>
      <c r="E23" s="211" t="s">
        <v>174</v>
      </c>
      <c r="F23" s="180" t="s">
        <v>175</v>
      </c>
      <c r="G23" s="214">
        <v>45784.895196759258</v>
      </c>
      <c r="H23" s="180"/>
      <c r="I23" s="213"/>
    </row>
    <row r="24" spans="1:9" ht="54.6" customHeight="1" x14ac:dyDescent="0.7">
      <c r="A24" s="179">
        <f t="shared" si="0"/>
        <v>19</v>
      </c>
      <c r="B24" s="332"/>
      <c r="C24" s="335"/>
      <c r="D24" s="335"/>
      <c r="E24" s="211" t="s">
        <v>176</v>
      </c>
      <c r="F24" s="180" t="s">
        <v>177</v>
      </c>
      <c r="G24" s="214">
        <v>45784.895196759258</v>
      </c>
      <c r="H24" s="180"/>
      <c r="I24" s="213"/>
    </row>
    <row r="25" spans="1:9" ht="54.6" customHeight="1" x14ac:dyDescent="0.7">
      <c r="A25" s="179">
        <f t="shared" si="0"/>
        <v>20</v>
      </c>
      <c r="B25" s="333"/>
      <c r="C25" s="336"/>
      <c r="D25" s="336"/>
      <c r="E25" s="211" t="s">
        <v>178</v>
      </c>
      <c r="F25" s="180" t="s">
        <v>179</v>
      </c>
      <c r="G25" s="214">
        <v>45784.895196759258</v>
      </c>
      <c r="H25" s="180"/>
      <c r="I25" s="213"/>
    </row>
    <row r="26" spans="1:9" ht="41.4" customHeight="1" x14ac:dyDescent="0.7">
      <c r="A26" s="179">
        <f t="shared" si="0"/>
        <v>21</v>
      </c>
      <c r="B26" s="209" t="s">
        <v>180</v>
      </c>
      <c r="C26" s="180" t="s">
        <v>181</v>
      </c>
      <c r="D26" s="210" t="s">
        <v>136</v>
      </c>
      <c r="E26" s="211" t="s">
        <v>182</v>
      </c>
      <c r="F26" s="180" t="s">
        <v>183</v>
      </c>
      <c r="G26" s="214">
        <v>45784.895196759258</v>
      </c>
      <c r="H26" s="180"/>
      <c r="I26" s="213"/>
    </row>
    <row r="27" spans="1:9" ht="28.8" customHeight="1" x14ac:dyDescent="0.7">
      <c r="A27" s="179">
        <f t="shared" si="0"/>
        <v>22</v>
      </c>
      <c r="B27" s="209" t="s">
        <v>184</v>
      </c>
      <c r="C27" s="180" t="s">
        <v>185</v>
      </c>
      <c r="D27" s="210" t="s">
        <v>186</v>
      </c>
      <c r="E27" s="211"/>
      <c r="F27" s="180"/>
      <c r="G27" s="212"/>
      <c r="H27" s="180"/>
      <c r="I27" s="213"/>
    </row>
    <row r="28" spans="1:9" ht="28.8" customHeight="1" x14ac:dyDescent="0.7">
      <c r="A28" s="179">
        <f t="shared" si="0"/>
        <v>23</v>
      </c>
      <c r="B28" s="209" t="s">
        <v>187</v>
      </c>
      <c r="C28" s="180" t="s">
        <v>188</v>
      </c>
      <c r="D28" s="210" t="s">
        <v>136</v>
      </c>
      <c r="E28" s="211"/>
      <c r="F28" s="180"/>
      <c r="G28" s="212"/>
      <c r="H28" s="180"/>
      <c r="I28" s="213"/>
    </row>
    <row r="29" spans="1:9" ht="28.8" customHeight="1" x14ac:dyDescent="0.7">
      <c r="A29" s="179">
        <f t="shared" si="0"/>
        <v>24</v>
      </c>
      <c r="B29" s="209" t="s">
        <v>189</v>
      </c>
      <c r="C29" s="180" t="s">
        <v>190</v>
      </c>
      <c r="D29" s="210" t="s">
        <v>136</v>
      </c>
      <c r="E29" s="211"/>
      <c r="F29" s="180"/>
      <c r="G29" s="212"/>
      <c r="H29" s="180"/>
      <c r="I29" s="213"/>
    </row>
    <row r="30" spans="1:9" ht="28.8" customHeight="1" x14ac:dyDescent="0.7">
      <c r="A30" s="179">
        <f t="shared" si="0"/>
        <v>25</v>
      </c>
      <c r="B30" s="209" t="s">
        <v>191</v>
      </c>
      <c r="C30" s="180" t="s">
        <v>192</v>
      </c>
      <c r="D30" s="210" t="s">
        <v>136</v>
      </c>
      <c r="E30" s="211"/>
      <c r="F30" s="180"/>
      <c r="G30" s="212"/>
      <c r="H30" s="180"/>
      <c r="I30" s="213"/>
    </row>
    <row r="31" spans="1:9" ht="41.4" customHeight="1" x14ac:dyDescent="0.7">
      <c r="A31" s="179">
        <f t="shared" si="0"/>
        <v>26</v>
      </c>
      <c r="B31" s="209" t="s">
        <v>193</v>
      </c>
      <c r="C31" s="180" t="s">
        <v>194</v>
      </c>
      <c r="D31" s="210" t="s">
        <v>186</v>
      </c>
      <c r="E31" s="211"/>
      <c r="F31" s="180"/>
      <c r="G31" s="212"/>
      <c r="H31" s="180"/>
      <c r="I31" s="213"/>
    </row>
    <row r="32" spans="1:9" ht="28.8" customHeight="1" x14ac:dyDescent="0.7">
      <c r="A32" s="179">
        <f t="shared" si="0"/>
        <v>27</v>
      </c>
      <c r="B32" s="209" t="s">
        <v>195</v>
      </c>
      <c r="C32" s="180" t="s">
        <v>196</v>
      </c>
      <c r="D32" s="210" t="s">
        <v>136</v>
      </c>
      <c r="E32" s="211"/>
      <c r="F32" s="180"/>
      <c r="G32" s="212"/>
      <c r="H32" s="180"/>
      <c r="I32" s="213"/>
    </row>
    <row r="33" spans="1:9" ht="41.4" customHeight="1" x14ac:dyDescent="0.7">
      <c r="A33" s="179">
        <f t="shared" si="0"/>
        <v>28</v>
      </c>
      <c r="B33" s="331" t="s">
        <v>197</v>
      </c>
      <c r="C33" s="334" t="s">
        <v>198</v>
      </c>
      <c r="D33" s="334" t="s">
        <v>136</v>
      </c>
      <c r="E33" s="211" t="s">
        <v>199</v>
      </c>
      <c r="F33" s="180" t="s">
        <v>200</v>
      </c>
      <c r="G33" s="214">
        <v>45784.895196759258</v>
      </c>
      <c r="H33" s="180"/>
      <c r="I33" s="213"/>
    </row>
    <row r="34" spans="1:9" ht="41.4" customHeight="1" x14ac:dyDescent="0.7">
      <c r="A34" s="179">
        <f t="shared" si="0"/>
        <v>29</v>
      </c>
      <c r="B34" s="332"/>
      <c r="C34" s="335"/>
      <c r="D34" s="335"/>
      <c r="E34" s="211" t="s">
        <v>201</v>
      </c>
      <c r="F34" s="180" t="s">
        <v>202</v>
      </c>
      <c r="G34" s="214">
        <v>45784.895196759258</v>
      </c>
      <c r="H34" s="180"/>
      <c r="I34" s="213"/>
    </row>
    <row r="35" spans="1:9" ht="41.4" customHeight="1" x14ac:dyDescent="0.7">
      <c r="A35" s="179">
        <f t="shared" si="0"/>
        <v>30</v>
      </c>
      <c r="B35" s="332"/>
      <c r="C35" s="335"/>
      <c r="D35" s="335"/>
      <c r="E35" s="211" t="s">
        <v>203</v>
      </c>
      <c r="F35" s="180" t="s">
        <v>204</v>
      </c>
      <c r="G35" s="214">
        <v>45784.895196759258</v>
      </c>
      <c r="H35" s="180"/>
      <c r="I35" s="213"/>
    </row>
    <row r="36" spans="1:9" ht="41.4" customHeight="1" x14ac:dyDescent="0.7">
      <c r="A36" s="179">
        <f t="shared" si="0"/>
        <v>31</v>
      </c>
      <c r="B36" s="332"/>
      <c r="C36" s="335"/>
      <c r="D36" s="335"/>
      <c r="E36" s="211" t="s">
        <v>205</v>
      </c>
      <c r="F36" s="180" t="s">
        <v>206</v>
      </c>
      <c r="G36" s="214">
        <v>45784.895196759258</v>
      </c>
      <c r="H36" s="180"/>
      <c r="I36" s="213"/>
    </row>
    <row r="37" spans="1:9" ht="41.4" customHeight="1" x14ac:dyDescent="0.7">
      <c r="A37" s="179">
        <f t="shared" si="0"/>
        <v>32</v>
      </c>
      <c r="B37" s="333"/>
      <c r="C37" s="336"/>
      <c r="D37" s="336"/>
      <c r="E37" s="211" t="s">
        <v>207</v>
      </c>
      <c r="F37" s="180" t="s">
        <v>208</v>
      </c>
      <c r="G37" s="214">
        <v>45784.895196759258</v>
      </c>
      <c r="H37" s="180"/>
      <c r="I37" s="213"/>
    </row>
    <row r="38" spans="1:9" ht="54.6" customHeight="1" x14ac:dyDescent="0.7">
      <c r="A38" s="179">
        <f t="shared" si="0"/>
        <v>33</v>
      </c>
      <c r="B38" s="209" t="s">
        <v>209</v>
      </c>
      <c r="C38" s="180" t="s">
        <v>210</v>
      </c>
      <c r="D38" s="210" t="s">
        <v>186</v>
      </c>
      <c r="E38" s="211"/>
      <c r="F38" s="180"/>
      <c r="G38" s="212"/>
      <c r="H38" s="180"/>
      <c r="I38" s="213"/>
    </row>
    <row r="39" spans="1:9" ht="28.8" customHeight="1" x14ac:dyDescent="0.7">
      <c r="A39" s="179">
        <f t="shared" si="0"/>
        <v>34</v>
      </c>
      <c r="B39" s="209" t="s">
        <v>211</v>
      </c>
      <c r="C39" s="180" t="s">
        <v>212</v>
      </c>
      <c r="D39" s="210" t="s">
        <v>186</v>
      </c>
      <c r="E39" s="211"/>
      <c r="F39" s="180"/>
      <c r="G39" s="212"/>
      <c r="H39" s="180"/>
      <c r="I39" s="213"/>
    </row>
    <row r="40" spans="1:9" ht="41.4" customHeight="1" x14ac:dyDescent="0.7">
      <c r="A40" s="179">
        <f t="shared" si="0"/>
        <v>35</v>
      </c>
      <c r="B40" s="209" t="s">
        <v>213</v>
      </c>
      <c r="C40" s="180" t="s">
        <v>214</v>
      </c>
      <c r="D40" s="210" t="s">
        <v>186</v>
      </c>
      <c r="E40" s="211"/>
      <c r="F40" s="180"/>
      <c r="G40" s="212"/>
      <c r="H40" s="180"/>
      <c r="I40" s="213"/>
    </row>
    <row r="41" spans="1:9" ht="28.8" customHeight="1" x14ac:dyDescent="0.7">
      <c r="A41" s="179">
        <f t="shared" si="0"/>
        <v>36</v>
      </c>
      <c r="B41" s="331" t="s">
        <v>215</v>
      </c>
      <c r="C41" s="334" t="s">
        <v>216</v>
      </c>
      <c r="D41" s="334" t="s">
        <v>136</v>
      </c>
      <c r="E41" s="211" t="s">
        <v>217</v>
      </c>
      <c r="F41" s="180" t="s">
        <v>218</v>
      </c>
      <c r="G41" s="214">
        <v>45784.895196759258</v>
      </c>
      <c r="H41" s="180"/>
      <c r="I41" s="213"/>
    </row>
    <row r="42" spans="1:9" ht="54.6" customHeight="1" x14ac:dyDescent="0.7">
      <c r="A42" s="179">
        <f t="shared" si="0"/>
        <v>37</v>
      </c>
      <c r="B42" s="332"/>
      <c r="C42" s="335"/>
      <c r="D42" s="335"/>
      <c r="E42" s="211" t="s">
        <v>219</v>
      </c>
      <c r="F42" s="180" t="s">
        <v>220</v>
      </c>
      <c r="G42" s="214">
        <v>45784.895196759258</v>
      </c>
      <c r="H42" s="180"/>
      <c r="I42" s="213"/>
    </row>
    <row r="43" spans="1:9" ht="54.6" customHeight="1" x14ac:dyDescent="0.7">
      <c r="A43" s="179">
        <f t="shared" si="0"/>
        <v>38</v>
      </c>
      <c r="B43" s="332"/>
      <c r="C43" s="335"/>
      <c r="D43" s="335"/>
      <c r="E43" s="211" t="s">
        <v>221</v>
      </c>
      <c r="F43" s="180" t="s">
        <v>222</v>
      </c>
      <c r="G43" s="214">
        <v>45784.895196759258</v>
      </c>
      <c r="H43" s="180"/>
      <c r="I43" s="213"/>
    </row>
    <row r="44" spans="1:9" ht="54.6" customHeight="1" x14ac:dyDescent="0.7">
      <c r="A44" s="179">
        <f t="shared" si="0"/>
        <v>39</v>
      </c>
      <c r="B44" s="332"/>
      <c r="C44" s="335"/>
      <c r="D44" s="335"/>
      <c r="E44" s="211" t="s">
        <v>223</v>
      </c>
      <c r="F44" s="180" t="s">
        <v>224</v>
      </c>
      <c r="G44" s="214">
        <v>45784.895196759258</v>
      </c>
      <c r="H44" s="180"/>
      <c r="I44" s="213"/>
    </row>
    <row r="45" spans="1:9" ht="54.6" customHeight="1" x14ac:dyDescent="0.7">
      <c r="A45" s="179">
        <f t="shared" si="0"/>
        <v>40</v>
      </c>
      <c r="B45" s="333"/>
      <c r="C45" s="336"/>
      <c r="D45" s="336"/>
      <c r="E45" s="211" t="s">
        <v>225</v>
      </c>
      <c r="F45" s="180" t="s">
        <v>226</v>
      </c>
      <c r="G45" s="214">
        <v>45784.895196759258</v>
      </c>
      <c r="H45" s="180"/>
      <c r="I45" s="213"/>
    </row>
    <row r="46" spans="1:9" ht="41.4" customHeight="1" x14ac:dyDescent="0.7">
      <c r="A46" s="179">
        <f t="shared" si="0"/>
        <v>41</v>
      </c>
      <c r="B46" s="209" t="s">
        <v>227</v>
      </c>
      <c r="C46" s="180" t="s">
        <v>228</v>
      </c>
      <c r="D46" s="210" t="s">
        <v>136</v>
      </c>
      <c r="E46" s="211" t="s">
        <v>229</v>
      </c>
      <c r="F46" s="180" t="s">
        <v>230</v>
      </c>
      <c r="G46" s="214">
        <v>45784.895196759258</v>
      </c>
      <c r="H46" s="180"/>
      <c r="I46" s="213"/>
    </row>
    <row r="47" spans="1:9" ht="28.8" customHeight="1" x14ac:dyDescent="0.7">
      <c r="A47" s="179">
        <f t="shared" si="0"/>
        <v>42</v>
      </c>
      <c r="B47" s="209" t="s">
        <v>231</v>
      </c>
      <c r="C47" s="180" t="s">
        <v>232</v>
      </c>
      <c r="D47" s="210" t="s">
        <v>136</v>
      </c>
      <c r="E47" s="211"/>
      <c r="F47" s="180"/>
      <c r="G47" s="212"/>
      <c r="H47" s="180"/>
      <c r="I47" s="213"/>
    </row>
    <row r="48" spans="1:9" ht="41.4" customHeight="1" x14ac:dyDescent="0.7">
      <c r="A48" s="179">
        <f t="shared" si="0"/>
        <v>43</v>
      </c>
      <c r="B48" s="209" t="s">
        <v>233</v>
      </c>
      <c r="C48" s="180" t="s">
        <v>234</v>
      </c>
      <c r="D48" s="210" t="s">
        <v>136</v>
      </c>
      <c r="E48" s="211" t="s">
        <v>235</v>
      </c>
      <c r="F48" s="180" t="s">
        <v>236</v>
      </c>
      <c r="G48" s="214">
        <v>45784.895196759258</v>
      </c>
      <c r="H48" s="180"/>
      <c r="I48" s="213"/>
    </row>
    <row r="49" spans="1:9" ht="54.6" customHeight="1" x14ac:dyDescent="0.7">
      <c r="A49" s="179">
        <f t="shared" si="0"/>
        <v>44</v>
      </c>
      <c r="B49" s="209" t="s">
        <v>237</v>
      </c>
      <c r="C49" s="180" t="s">
        <v>238</v>
      </c>
      <c r="D49" s="210" t="s">
        <v>186</v>
      </c>
      <c r="E49" s="211"/>
      <c r="F49" s="180"/>
      <c r="G49" s="212"/>
      <c r="H49" s="180"/>
      <c r="I49" s="213"/>
    </row>
    <row r="50" spans="1:9" ht="54.6" customHeight="1" x14ac:dyDescent="0.7">
      <c r="A50" s="179">
        <f t="shared" si="0"/>
        <v>45</v>
      </c>
      <c r="B50" s="209" t="s">
        <v>239</v>
      </c>
      <c r="C50" s="180" t="s">
        <v>240</v>
      </c>
      <c r="D50" s="210" t="s">
        <v>136</v>
      </c>
      <c r="E50" s="211"/>
      <c r="F50" s="180"/>
      <c r="G50" s="212"/>
      <c r="H50" s="180"/>
      <c r="I50" s="213"/>
    </row>
    <row r="51" spans="1:9" ht="41.4" customHeight="1" x14ac:dyDescent="0.7">
      <c r="A51" s="179">
        <f t="shared" si="0"/>
        <v>46</v>
      </c>
      <c r="B51" s="331" t="s">
        <v>241</v>
      </c>
      <c r="C51" s="334" t="s">
        <v>242</v>
      </c>
      <c r="D51" s="334" t="s">
        <v>136</v>
      </c>
      <c r="E51" s="211" t="s">
        <v>243</v>
      </c>
      <c r="F51" s="180" t="s">
        <v>244</v>
      </c>
      <c r="G51" s="214">
        <v>45784.895196759258</v>
      </c>
      <c r="H51" s="180"/>
      <c r="I51" s="213"/>
    </row>
    <row r="52" spans="1:9" ht="41.4" customHeight="1" x14ac:dyDescent="0.7">
      <c r="A52" s="179">
        <f t="shared" si="0"/>
        <v>47</v>
      </c>
      <c r="B52" s="332"/>
      <c r="C52" s="335"/>
      <c r="D52" s="335"/>
      <c r="E52" s="211" t="s">
        <v>245</v>
      </c>
      <c r="F52" s="180" t="s">
        <v>246</v>
      </c>
      <c r="G52" s="214">
        <v>45784.895196759258</v>
      </c>
      <c r="H52" s="180"/>
      <c r="I52" s="213"/>
    </row>
    <row r="53" spans="1:9" ht="28.8" customHeight="1" x14ac:dyDescent="0.7">
      <c r="A53" s="179">
        <f t="shared" si="0"/>
        <v>48</v>
      </c>
      <c r="B53" s="332"/>
      <c r="C53" s="335"/>
      <c r="D53" s="335"/>
      <c r="E53" s="211" t="s">
        <v>247</v>
      </c>
      <c r="F53" s="180" t="s">
        <v>248</v>
      </c>
      <c r="G53" s="214">
        <v>45784.895196759258</v>
      </c>
      <c r="H53" s="180"/>
      <c r="I53" s="213"/>
    </row>
    <row r="54" spans="1:9" ht="28.8" customHeight="1" x14ac:dyDescent="0.7">
      <c r="A54" s="179">
        <f t="shared" si="0"/>
        <v>49</v>
      </c>
      <c r="B54" s="332"/>
      <c r="C54" s="335"/>
      <c r="D54" s="335"/>
      <c r="E54" s="211" t="s">
        <v>249</v>
      </c>
      <c r="F54" s="180" t="s">
        <v>250</v>
      </c>
      <c r="G54" s="214">
        <v>45784.895196759258</v>
      </c>
      <c r="H54" s="180"/>
      <c r="I54" s="213"/>
    </row>
    <row r="55" spans="1:9" ht="41.4" customHeight="1" x14ac:dyDescent="0.7">
      <c r="A55" s="179">
        <f t="shared" si="0"/>
        <v>50</v>
      </c>
      <c r="B55" s="332"/>
      <c r="C55" s="335"/>
      <c r="D55" s="335"/>
      <c r="E55" s="211" t="s">
        <v>251</v>
      </c>
      <c r="F55" s="180" t="s">
        <v>252</v>
      </c>
      <c r="G55" s="214">
        <v>45784.895196759258</v>
      </c>
      <c r="H55" s="180"/>
      <c r="I55" s="213"/>
    </row>
    <row r="56" spans="1:9" ht="28.8" customHeight="1" x14ac:dyDescent="0.7">
      <c r="A56" s="179">
        <f t="shared" si="0"/>
        <v>51</v>
      </c>
      <c r="B56" s="332"/>
      <c r="C56" s="335"/>
      <c r="D56" s="335"/>
      <c r="E56" s="211" t="s">
        <v>253</v>
      </c>
      <c r="F56" s="180" t="s">
        <v>254</v>
      </c>
      <c r="G56" s="214">
        <v>45784.895196759258</v>
      </c>
      <c r="H56" s="180"/>
      <c r="I56" s="213"/>
    </row>
    <row r="57" spans="1:9" ht="28.8" customHeight="1" x14ac:dyDescent="0.7">
      <c r="A57" s="179">
        <f t="shared" si="0"/>
        <v>52</v>
      </c>
      <c r="B57" s="332"/>
      <c r="C57" s="335"/>
      <c r="D57" s="335"/>
      <c r="E57" s="211" t="s">
        <v>255</v>
      </c>
      <c r="F57" s="180" t="s">
        <v>256</v>
      </c>
      <c r="G57" s="214">
        <v>45784.895196759258</v>
      </c>
      <c r="H57" s="180"/>
      <c r="I57" s="213"/>
    </row>
    <row r="58" spans="1:9" ht="28.8" customHeight="1" x14ac:dyDescent="0.7">
      <c r="A58" s="179">
        <f t="shared" si="0"/>
        <v>53</v>
      </c>
      <c r="B58" s="332"/>
      <c r="C58" s="335"/>
      <c r="D58" s="335"/>
      <c r="E58" s="211" t="s">
        <v>257</v>
      </c>
      <c r="F58" s="180" t="s">
        <v>258</v>
      </c>
      <c r="G58" s="214">
        <v>45784.895196759258</v>
      </c>
      <c r="H58" s="180"/>
      <c r="I58" s="213"/>
    </row>
    <row r="59" spans="1:9" ht="28.8" customHeight="1" x14ac:dyDescent="0.7">
      <c r="A59" s="179">
        <f t="shared" si="0"/>
        <v>54</v>
      </c>
      <c r="B59" s="332"/>
      <c r="C59" s="335"/>
      <c r="D59" s="335"/>
      <c r="E59" s="211" t="s">
        <v>259</v>
      </c>
      <c r="F59" s="180" t="s">
        <v>260</v>
      </c>
      <c r="G59" s="214">
        <v>45784.895196759258</v>
      </c>
      <c r="H59" s="180"/>
      <c r="I59" s="213"/>
    </row>
    <row r="60" spans="1:9" ht="28.8" customHeight="1" x14ac:dyDescent="0.7">
      <c r="A60" s="179">
        <f t="shared" si="0"/>
        <v>55</v>
      </c>
      <c r="B60" s="332"/>
      <c r="C60" s="335"/>
      <c r="D60" s="335"/>
      <c r="E60" s="211" t="s">
        <v>261</v>
      </c>
      <c r="F60" s="180" t="s">
        <v>262</v>
      </c>
      <c r="G60" s="214">
        <v>45784.895196759258</v>
      </c>
      <c r="H60" s="180"/>
      <c r="I60" s="213"/>
    </row>
    <row r="61" spans="1:9" ht="41.4" customHeight="1" x14ac:dyDescent="0.7">
      <c r="A61" s="179">
        <f t="shared" si="0"/>
        <v>56</v>
      </c>
      <c r="B61" s="332"/>
      <c r="C61" s="335"/>
      <c r="D61" s="335"/>
      <c r="E61" s="211" t="s">
        <v>263</v>
      </c>
      <c r="F61" s="180" t="s">
        <v>264</v>
      </c>
      <c r="G61" s="214">
        <v>45784.895196759258</v>
      </c>
      <c r="H61" s="180"/>
      <c r="I61" s="213"/>
    </row>
    <row r="62" spans="1:9" ht="41.4" customHeight="1" x14ac:dyDescent="0.7">
      <c r="A62" s="179">
        <f t="shared" si="0"/>
        <v>57</v>
      </c>
      <c r="B62" s="332"/>
      <c r="C62" s="335"/>
      <c r="D62" s="335"/>
      <c r="E62" s="211" t="s">
        <v>265</v>
      </c>
      <c r="F62" s="180" t="s">
        <v>266</v>
      </c>
      <c r="G62" s="214">
        <v>45784.895196759258</v>
      </c>
      <c r="H62" s="180"/>
      <c r="I62" s="213"/>
    </row>
    <row r="63" spans="1:9" ht="28.8" customHeight="1" x14ac:dyDescent="0.7">
      <c r="A63" s="179">
        <f t="shared" si="0"/>
        <v>58</v>
      </c>
      <c r="B63" s="332"/>
      <c r="C63" s="335"/>
      <c r="D63" s="335"/>
      <c r="E63" s="211" t="s">
        <v>267</v>
      </c>
      <c r="F63" s="180" t="s">
        <v>268</v>
      </c>
      <c r="G63" s="214">
        <v>45784.895196759258</v>
      </c>
      <c r="H63" s="180"/>
      <c r="I63" s="213"/>
    </row>
    <row r="64" spans="1:9" ht="41.4" customHeight="1" x14ac:dyDescent="0.7">
      <c r="A64" s="179">
        <f t="shared" si="0"/>
        <v>59</v>
      </c>
      <c r="B64" s="332"/>
      <c r="C64" s="335"/>
      <c r="D64" s="335"/>
      <c r="E64" s="211" t="s">
        <v>269</v>
      </c>
      <c r="F64" s="180" t="s">
        <v>270</v>
      </c>
      <c r="G64" s="214">
        <v>45784.895196759258</v>
      </c>
      <c r="H64" s="180"/>
      <c r="I64" s="213"/>
    </row>
    <row r="65" spans="1:9" ht="41.4" customHeight="1" x14ac:dyDescent="0.7">
      <c r="A65" s="179">
        <f t="shared" si="0"/>
        <v>60</v>
      </c>
      <c r="B65" s="332"/>
      <c r="C65" s="335"/>
      <c r="D65" s="335"/>
      <c r="E65" s="211" t="s">
        <v>271</v>
      </c>
      <c r="F65" s="180" t="s">
        <v>272</v>
      </c>
      <c r="G65" s="214">
        <v>45784.895196759258</v>
      </c>
      <c r="H65" s="180"/>
      <c r="I65" s="213"/>
    </row>
    <row r="66" spans="1:9" ht="28.8" customHeight="1" x14ac:dyDescent="0.7">
      <c r="A66" s="179">
        <f t="shared" si="0"/>
        <v>61</v>
      </c>
      <c r="B66" s="332"/>
      <c r="C66" s="335"/>
      <c r="D66" s="335"/>
      <c r="E66" s="211" t="s">
        <v>273</v>
      </c>
      <c r="F66" s="180" t="s">
        <v>274</v>
      </c>
      <c r="G66" s="214">
        <v>45784.895196759258</v>
      </c>
      <c r="H66" s="180"/>
      <c r="I66" s="213"/>
    </row>
    <row r="67" spans="1:9" ht="41.4" customHeight="1" x14ac:dyDescent="0.7">
      <c r="A67" s="179">
        <f t="shared" si="0"/>
        <v>62</v>
      </c>
      <c r="B67" s="332"/>
      <c r="C67" s="335"/>
      <c r="D67" s="335"/>
      <c r="E67" s="211" t="s">
        <v>275</v>
      </c>
      <c r="F67" s="180" t="s">
        <v>276</v>
      </c>
      <c r="G67" s="214">
        <v>45784.895196759258</v>
      </c>
      <c r="H67" s="180"/>
      <c r="I67" s="213"/>
    </row>
    <row r="68" spans="1:9" ht="41.4" customHeight="1" x14ac:dyDescent="0.7">
      <c r="A68" s="179">
        <f t="shared" si="0"/>
        <v>63</v>
      </c>
      <c r="B68" s="332"/>
      <c r="C68" s="335"/>
      <c r="D68" s="335"/>
      <c r="E68" s="211" t="s">
        <v>277</v>
      </c>
      <c r="F68" s="180" t="s">
        <v>278</v>
      </c>
      <c r="G68" s="214">
        <v>45784.895196759258</v>
      </c>
      <c r="H68" s="180"/>
      <c r="I68" s="213"/>
    </row>
    <row r="69" spans="1:9" ht="41.4" customHeight="1" x14ac:dyDescent="0.7">
      <c r="A69" s="179">
        <f t="shared" si="0"/>
        <v>64</v>
      </c>
      <c r="B69" s="332"/>
      <c r="C69" s="335"/>
      <c r="D69" s="335"/>
      <c r="E69" s="211" t="s">
        <v>279</v>
      </c>
      <c r="F69" s="180" t="s">
        <v>280</v>
      </c>
      <c r="G69" s="214">
        <v>45784.895196759258</v>
      </c>
      <c r="H69" s="180"/>
      <c r="I69" s="213"/>
    </row>
    <row r="70" spans="1:9" ht="28.8" customHeight="1" x14ac:dyDescent="0.7">
      <c r="A70" s="179">
        <f t="shared" ref="A70:A133" si="1">ROW()-5</f>
        <v>65</v>
      </c>
      <c r="B70" s="332"/>
      <c r="C70" s="335"/>
      <c r="D70" s="335"/>
      <c r="E70" s="211" t="s">
        <v>281</v>
      </c>
      <c r="F70" s="180" t="s">
        <v>282</v>
      </c>
      <c r="G70" s="214">
        <v>45784.895196759258</v>
      </c>
      <c r="H70" s="180"/>
      <c r="I70" s="213"/>
    </row>
    <row r="71" spans="1:9" ht="28.8" customHeight="1" x14ac:dyDescent="0.7">
      <c r="A71" s="179">
        <f t="shared" si="1"/>
        <v>66</v>
      </c>
      <c r="B71" s="332"/>
      <c r="C71" s="335"/>
      <c r="D71" s="335"/>
      <c r="E71" s="211" t="s">
        <v>283</v>
      </c>
      <c r="F71" s="180" t="s">
        <v>284</v>
      </c>
      <c r="G71" s="214">
        <v>45784.895196759258</v>
      </c>
      <c r="H71" s="180"/>
      <c r="I71" s="213"/>
    </row>
    <row r="72" spans="1:9" ht="28.8" customHeight="1" x14ac:dyDescent="0.7">
      <c r="A72" s="179">
        <f t="shared" si="1"/>
        <v>67</v>
      </c>
      <c r="B72" s="332"/>
      <c r="C72" s="335"/>
      <c r="D72" s="335"/>
      <c r="E72" s="211" t="s">
        <v>285</v>
      </c>
      <c r="F72" s="180" t="s">
        <v>286</v>
      </c>
      <c r="G72" s="214">
        <v>45784.895196759258</v>
      </c>
      <c r="H72" s="180"/>
      <c r="I72" s="213"/>
    </row>
    <row r="73" spans="1:9" ht="41.4" customHeight="1" x14ac:dyDescent="0.7">
      <c r="A73" s="179">
        <f t="shared" si="1"/>
        <v>68</v>
      </c>
      <c r="B73" s="332"/>
      <c r="C73" s="335"/>
      <c r="D73" s="335"/>
      <c r="E73" s="211" t="s">
        <v>287</v>
      </c>
      <c r="F73" s="180" t="s">
        <v>288</v>
      </c>
      <c r="G73" s="214">
        <v>45784.895196759258</v>
      </c>
      <c r="H73" s="180"/>
      <c r="I73" s="213"/>
    </row>
    <row r="74" spans="1:9" ht="41.4" customHeight="1" x14ac:dyDescent="0.7">
      <c r="A74" s="179">
        <f t="shared" si="1"/>
        <v>69</v>
      </c>
      <c r="B74" s="332"/>
      <c r="C74" s="335"/>
      <c r="D74" s="335"/>
      <c r="E74" s="211" t="s">
        <v>289</v>
      </c>
      <c r="F74" s="180" t="s">
        <v>290</v>
      </c>
      <c r="G74" s="214">
        <v>45784.895196759258</v>
      </c>
      <c r="H74" s="180"/>
      <c r="I74" s="213"/>
    </row>
    <row r="75" spans="1:9" ht="41.4" customHeight="1" x14ac:dyDescent="0.7">
      <c r="A75" s="179">
        <f t="shared" si="1"/>
        <v>70</v>
      </c>
      <c r="B75" s="332"/>
      <c r="C75" s="335"/>
      <c r="D75" s="335"/>
      <c r="E75" s="211" t="s">
        <v>291</v>
      </c>
      <c r="F75" s="180" t="s">
        <v>292</v>
      </c>
      <c r="G75" s="214">
        <v>45784.895196759258</v>
      </c>
      <c r="H75" s="180"/>
      <c r="I75" s="213"/>
    </row>
    <row r="76" spans="1:9" ht="41.4" customHeight="1" x14ac:dyDescent="0.7">
      <c r="A76" s="179">
        <f t="shared" si="1"/>
        <v>71</v>
      </c>
      <c r="B76" s="332"/>
      <c r="C76" s="335"/>
      <c r="D76" s="335"/>
      <c r="E76" s="211" t="s">
        <v>293</v>
      </c>
      <c r="F76" s="180" t="s">
        <v>294</v>
      </c>
      <c r="G76" s="214">
        <v>45784.895196759258</v>
      </c>
      <c r="H76" s="180"/>
      <c r="I76" s="213"/>
    </row>
    <row r="77" spans="1:9" ht="41.4" customHeight="1" x14ac:dyDescent="0.7">
      <c r="A77" s="179">
        <f t="shared" si="1"/>
        <v>72</v>
      </c>
      <c r="B77" s="332"/>
      <c r="C77" s="335"/>
      <c r="D77" s="335"/>
      <c r="E77" s="211" t="s">
        <v>295</v>
      </c>
      <c r="F77" s="180" t="s">
        <v>296</v>
      </c>
      <c r="G77" s="214">
        <v>45784.895196759258</v>
      </c>
      <c r="H77" s="180"/>
      <c r="I77" s="213"/>
    </row>
    <row r="78" spans="1:9" ht="28.8" customHeight="1" x14ac:dyDescent="0.7">
      <c r="A78" s="179">
        <f t="shared" si="1"/>
        <v>73</v>
      </c>
      <c r="B78" s="332"/>
      <c r="C78" s="335"/>
      <c r="D78" s="335"/>
      <c r="E78" s="211" t="s">
        <v>297</v>
      </c>
      <c r="F78" s="180" t="s">
        <v>298</v>
      </c>
      <c r="G78" s="214">
        <v>45784.895196759258</v>
      </c>
      <c r="H78" s="180"/>
      <c r="I78" s="213"/>
    </row>
    <row r="79" spans="1:9" ht="41.4" customHeight="1" x14ac:dyDescent="0.7">
      <c r="A79" s="179">
        <f t="shared" si="1"/>
        <v>74</v>
      </c>
      <c r="B79" s="332"/>
      <c r="C79" s="335"/>
      <c r="D79" s="335"/>
      <c r="E79" s="211" t="s">
        <v>299</v>
      </c>
      <c r="F79" s="181" t="s">
        <v>300</v>
      </c>
      <c r="G79" s="214">
        <v>45784.895196759258</v>
      </c>
      <c r="H79" s="180"/>
      <c r="I79" s="213"/>
    </row>
    <row r="80" spans="1:9" ht="41.4" customHeight="1" x14ac:dyDescent="0.7">
      <c r="A80" s="179">
        <f t="shared" si="1"/>
        <v>75</v>
      </c>
      <c r="B80" s="332"/>
      <c r="C80" s="335"/>
      <c r="D80" s="335"/>
      <c r="E80" s="211" t="s">
        <v>301</v>
      </c>
      <c r="F80" s="181" t="s">
        <v>302</v>
      </c>
      <c r="G80" s="214">
        <v>45784.895196759258</v>
      </c>
      <c r="H80" s="180"/>
      <c r="I80" s="213"/>
    </row>
    <row r="81" spans="1:9" ht="28.8" customHeight="1" x14ac:dyDescent="0.7">
      <c r="A81" s="179">
        <f t="shared" si="1"/>
        <v>76</v>
      </c>
      <c r="B81" s="332"/>
      <c r="C81" s="335"/>
      <c r="D81" s="335"/>
      <c r="E81" s="211" t="s">
        <v>303</v>
      </c>
      <c r="F81" s="181" t="s">
        <v>304</v>
      </c>
      <c r="G81" s="214">
        <v>45784.895196759258</v>
      </c>
      <c r="H81" s="180"/>
      <c r="I81" s="213"/>
    </row>
    <row r="82" spans="1:9" ht="41.4" customHeight="1" x14ac:dyDescent="0.7">
      <c r="A82" s="179">
        <f t="shared" si="1"/>
        <v>77</v>
      </c>
      <c r="B82" s="332"/>
      <c r="C82" s="335"/>
      <c r="D82" s="335"/>
      <c r="E82" s="211" t="s">
        <v>305</v>
      </c>
      <c r="F82" s="181" t="s">
        <v>306</v>
      </c>
      <c r="G82" s="214">
        <v>45784.895196759258</v>
      </c>
      <c r="H82" s="180"/>
      <c r="I82" s="213"/>
    </row>
    <row r="83" spans="1:9" ht="28.8" customHeight="1" x14ac:dyDescent="0.7">
      <c r="A83" s="179">
        <f t="shared" si="1"/>
        <v>78</v>
      </c>
      <c r="B83" s="332"/>
      <c r="C83" s="335"/>
      <c r="D83" s="335"/>
      <c r="E83" s="211" t="s">
        <v>307</v>
      </c>
      <c r="F83" s="181" t="s">
        <v>308</v>
      </c>
      <c r="G83" s="214">
        <v>45784.895196759258</v>
      </c>
      <c r="H83" s="180"/>
      <c r="I83" s="213"/>
    </row>
    <row r="84" spans="1:9" ht="41.4" customHeight="1" x14ac:dyDescent="0.7">
      <c r="A84" s="179">
        <f t="shared" si="1"/>
        <v>79</v>
      </c>
      <c r="B84" s="332"/>
      <c r="C84" s="335"/>
      <c r="D84" s="335"/>
      <c r="E84" s="211" t="s">
        <v>309</v>
      </c>
      <c r="F84" s="181" t="s">
        <v>310</v>
      </c>
      <c r="G84" s="214">
        <v>45784.895196759258</v>
      </c>
      <c r="H84" s="180"/>
      <c r="I84" s="213"/>
    </row>
    <row r="85" spans="1:9" ht="41.4" customHeight="1" x14ac:dyDescent="0.7">
      <c r="A85" s="179">
        <f t="shared" si="1"/>
        <v>80</v>
      </c>
      <c r="B85" s="332"/>
      <c r="C85" s="335"/>
      <c r="D85" s="335"/>
      <c r="E85" s="211" t="s">
        <v>311</v>
      </c>
      <c r="F85" s="181" t="s">
        <v>312</v>
      </c>
      <c r="G85" s="214">
        <v>45784.895196759258</v>
      </c>
      <c r="H85" s="180"/>
      <c r="I85" s="213"/>
    </row>
    <row r="86" spans="1:9" ht="42.6" customHeight="1" x14ac:dyDescent="0.7">
      <c r="A86" s="179">
        <f t="shared" si="1"/>
        <v>81</v>
      </c>
      <c r="B86" s="332"/>
      <c r="C86" s="335"/>
      <c r="D86" s="335"/>
      <c r="E86" s="168" t="s">
        <v>313</v>
      </c>
      <c r="F86" s="166" t="s">
        <v>314</v>
      </c>
      <c r="G86" s="169">
        <v>45784.895196759258</v>
      </c>
      <c r="H86" s="166"/>
    </row>
    <row r="87" spans="1:9" ht="28.8" customHeight="1" x14ac:dyDescent="0.7">
      <c r="A87" s="179">
        <f t="shared" si="1"/>
        <v>82</v>
      </c>
      <c r="B87" s="332"/>
      <c r="C87" s="335"/>
      <c r="D87" s="335"/>
      <c r="E87" s="168" t="s">
        <v>315</v>
      </c>
      <c r="F87" s="166" t="s">
        <v>316</v>
      </c>
      <c r="G87" s="169">
        <v>45784.895196759258</v>
      </c>
      <c r="H87" s="166"/>
    </row>
    <row r="88" spans="1:9" ht="42.6" customHeight="1" x14ac:dyDescent="0.7">
      <c r="A88" s="179">
        <f t="shared" si="1"/>
        <v>83</v>
      </c>
      <c r="B88" s="332"/>
      <c r="C88" s="335"/>
      <c r="D88" s="335"/>
      <c r="E88" s="168" t="s">
        <v>317</v>
      </c>
      <c r="F88" s="166" t="s">
        <v>318</v>
      </c>
      <c r="G88" s="169">
        <v>45784.895196759258</v>
      </c>
      <c r="H88" s="166"/>
    </row>
    <row r="89" spans="1:9" ht="42.6" customHeight="1" x14ac:dyDescent="0.7">
      <c r="A89" s="179">
        <f t="shared" si="1"/>
        <v>84</v>
      </c>
      <c r="B89" s="332"/>
      <c r="C89" s="335"/>
      <c r="D89" s="335"/>
      <c r="E89" s="168" t="s">
        <v>319</v>
      </c>
      <c r="F89" s="166" t="s">
        <v>320</v>
      </c>
      <c r="G89" s="169">
        <v>45784.895196759258</v>
      </c>
      <c r="H89" s="166"/>
    </row>
    <row r="90" spans="1:9" ht="42.6" customHeight="1" x14ac:dyDescent="0.7">
      <c r="A90" s="179">
        <f t="shared" si="1"/>
        <v>85</v>
      </c>
      <c r="B90" s="332"/>
      <c r="C90" s="335"/>
      <c r="D90" s="335"/>
      <c r="E90" s="168" t="s">
        <v>321</v>
      </c>
      <c r="F90" s="166" t="s">
        <v>318</v>
      </c>
      <c r="G90" s="169">
        <v>45784.895196759258</v>
      </c>
      <c r="H90" s="166"/>
    </row>
    <row r="91" spans="1:9" ht="42.6" customHeight="1" x14ac:dyDescent="0.7">
      <c r="A91" s="179">
        <f t="shared" si="1"/>
        <v>86</v>
      </c>
      <c r="B91" s="332"/>
      <c r="C91" s="335"/>
      <c r="D91" s="335"/>
      <c r="E91" s="168" t="s">
        <v>322</v>
      </c>
      <c r="F91" s="166" t="s">
        <v>323</v>
      </c>
      <c r="G91" s="169">
        <v>45784.895196759258</v>
      </c>
      <c r="H91" s="166"/>
    </row>
    <row r="92" spans="1:9" ht="42.6" customHeight="1" x14ac:dyDescent="0.7">
      <c r="A92" s="179">
        <f t="shared" si="1"/>
        <v>87</v>
      </c>
      <c r="B92" s="332"/>
      <c r="C92" s="335"/>
      <c r="D92" s="335"/>
      <c r="E92" s="168" t="s">
        <v>324</v>
      </c>
      <c r="F92" s="166" t="s">
        <v>325</v>
      </c>
      <c r="G92" s="169">
        <v>45784.895196759258</v>
      </c>
      <c r="H92" s="166"/>
    </row>
    <row r="93" spans="1:9" ht="28.8" customHeight="1" x14ac:dyDescent="0.7">
      <c r="A93" s="179">
        <f t="shared" si="1"/>
        <v>88</v>
      </c>
      <c r="B93" s="332"/>
      <c r="C93" s="335"/>
      <c r="D93" s="335"/>
      <c r="E93" s="168" t="s">
        <v>326</v>
      </c>
      <c r="F93" s="166" t="s">
        <v>327</v>
      </c>
      <c r="G93" s="169">
        <v>45784.895196759258</v>
      </c>
      <c r="H93" s="166"/>
    </row>
    <row r="94" spans="1:9" ht="28.8" customHeight="1" x14ac:dyDescent="0.7">
      <c r="A94" s="179">
        <f t="shared" si="1"/>
        <v>89</v>
      </c>
      <c r="B94" s="332"/>
      <c r="C94" s="335"/>
      <c r="D94" s="335"/>
      <c r="E94" s="168" t="s">
        <v>328</v>
      </c>
      <c r="F94" s="166" t="s">
        <v>329</v>
      </c>
      <c r="G94" s="169">
        <v>45784.895196759258</v>
      </c>
      <c r="H94" s="166"/>
    </row>
    <row r="95" spans="1:9" ht="28.8" customHeight="1" x14ac:dyDescent="0.7">
      <c r="A95" s="179">
        <f t="shared" si="1"/>
        <v>90</v>
      </c>
      <c r="B95" s="332"/>
      <c r="C95" s="335"/>
      <c r="D95" s="335"/>
      <c r="E95" s="168" t="s">
        <v>330</v>
      </c>
      <c r="F95" s="166" t="s">
        <v>331</v>
      </c>
      <c r="G95" s="169">
        <v>45784.895196759258</v>
      </c>
      <c r="H95" s="166"/>
    </row>
    <row r="96" spans="1:9" ht="28.8" customHeight="1" x14ac:dyDescent="0.7">
      <c r="A96" s="179">
        <f t="shared" si="1"/>
        <v>91</v>
      </c>
      <c r="B96" s="332"/>
      <c r="C96" s="335"/>
      <c r="D96" s="335"/>
      <c r="E96" s="168" t="s">
        <v>332</v>
      </c>
      <c r="F96" s="166" t="s">
        <v>333</v>
      </c>
      <c r="G96" s="169">
        <v>45784.895196759258</v>
      </c>
      <c r="H96" s="166"/>
    </row>
    <row r="97" spans="1:8" ht="70.2" customHeight="1" x14ac:dyDescent="0.7">
      <c r="A97" s="179">
        <f t="shared" si="1"/>
        <v>92</v>
      </c>
      <c r="B97" s="332"/>
      <c r="C97" s="335"/>
      <c r="D97" s="335"/>
      <c r="E97" s="168" t="s">
        <v>334</v>
      </c>
      <c r="F97" s="166" t="s">
        <v>335</v>
      </c>
      <c r="G97" s="169">
        <v>45784.895196759258</v>
      </c>
      <c r="H97" s="166"/>
    </row>
    <row r="98" spans="1:8" ht="56.4" customHeight="1" x14ac:dyDescent="0.7">
      <c r="A98" s="179">
        <f t="shared" si="1"/>
        <v>93</v>
      </c>
      <c r="B98" s="332"/>
      <c r="C98" s="335"/>
      <c r="D98" s="335"/>
      <c r="E98" s="168" t="s">
        <v>336</v>
      </c>
      <c r="F98" s="166" t="s">
        <v>337</v>
      </c>
      <c r="G98" s="169">
        <v>45784.895196759258</v>
      </c>
      <c r="H98" s="166"/>
    </row>
    <row r="99" spans="1:8" ht="42.6" customHeight="1" x14ac:dyDescent="0.7">
      <c r="A99" s="179">
        <f t="shared" si="1"/>
        <v>94</v>
      </c>
      <c r="B99" s="332"/>
      <c r="C99" s="335"/>
      <c r="D99" s="335"/>
      <c r="E99" s="168" t="s">
        <v>338</v>
      </c>
      <c r="F99" s="166" t="s">
        <v>339</v>
      </c>
      <c r="G99" s="169">
        <v>45784.895196759258</v>
      </c>
      <c r="H99" s="166"/>
    </row>
    <row r="100" spans="1:8" ht="42.6" customHeight="1" x14ac:dyDescent="0.7">
      <c r="A100" s="179">
        <f t="shared" si="1"/>
        <v>95</v>
      </c>
      <c r="B100" s="332"/>
      <c r="C100" s="335"/>
      <c r="D100" s="335"/>
      <c r="E100" s="168" t="s">
        <v>340</v>
      </c>
      <c r="F100" s="166" t="s">
        <v>341</v>
      </c>
      <c r="G100" s="169">
        <v>45784.895196759258</v>
      </c>
      <c r="H100" s="166"/>
    </row>
    <row r="101" spans="1:8" ht="56.4" customHeight="1" x14ac:dyDescent="0.7">
      <c r="A101" s="179">
        <f t="shared" si="1"/>
        <v>96</v>
      </c>
      <c r="B101" s="332"/>
      <c r="C101" s="335"/>
      <c r="D101" s="335"/>
      <c r="E101" s="168" t="s">
        <v>342</v>
      </c>
      <c r="F101" s="166" t="s">
        <v>343</v>
      </c>
      <c r="G101" s="169">
        <v>45784.895196759258</v>
      </c>
      <c r="H101" s="166"/>
    </row>
    <row r="102" spans="1:8" ht="56.4" customHeight="1" x14ac:dyDescent="0.7">
      <c r="A102" s="179">
        <f t="shared" si="1"/>
        <v>97</v>
      </c>
      <c r="B102" s="332"/>
      <c r="C102" s="335"/>
      <c r="D102" s="335"/>
      <c r="E102" s="168" t="s">
        <v>344</v>
      </c>
      <c r="F102" s="166" t="s">
        <v>345</v>
      </c>
      <c r="G102" s="169">
        <v>45784.895196759258</v>
      </c>
      <c r="H102" s="166"/>
    </row>
    <row r="103" spans="1:8" ht="42.6" customHeight="1" x14ac:dyDescent="0.7">
      <c r="A103" s="179">
        <f t="shared" si="1"/>
        <v>98</v>
      </c>
      <c r="B103" s="332"/>
      <c r="C103" s="335"/>
      <c r="D103" s="335"/>
      <c r="E103" s="168" t="s">
        <v>346</v>
      </c>
      <c r="F103" s="166" t="s">
        <v>347</v>
      </c>
      <c r="G103" s="169">
        <v>45784.895208333335</v>
      </c>
      <c r="H103" s="166"/>
    </row>
    <row r="104" spans="1:8" ht="42.6" customHeight="1" x14ac:dyDescent="0.7">
      <c r="A104" s="179">
        <f t="shared" si="1"/>
        <v>99</v>
      </c>
      <c r="B104" s="332"/>
      <c r="C104" s="335"/>
      <c r="D104" s="335"/>
      <c r="E104" s="168" t="s">
        <v>348</v>
      </c>
      <c r="F104" s="166" t="s">
        <v>252</v>
      </c>
      <c r="G104" s="169">
        <v>45784.895208333335</v>
      </c>
      <c r="H104" s="166"/>
    </row>
    <row r="105" spans="1:8" ht="28.8" customHeight="1" x14ac:dyDescent="0.7">
      <c r="A105" s="179">
        <f t="shared" si="1"/>
        <v>100</v>
      </c>
      <c r="B105" s="332"/>
      <c r="C105" s="335"/>
      <c r="D105" s="335"/>
      <c r="E105" s="168" t="s">
        <v>349</v>
      </c>
      <c r="F105" s="166" t="s">
        <v>350</v>
      </c>
      <c r="G105" s="169">
        <v>45784.895208333335</v>
      </c>
      <c r="H105" s="166"/>
    </row>
    <row r="106" spans="1:8" ht="56.4" customHeight="1" x14ac:dyDescent="0.7">
      <c r="A106" s="179">
        <f t="shared" si="1"/>
        <v>101</v>
      </c>
      <c r="B106" s="332"/>
      <c r="C106" s="335"/>
      <c r="D106" s="335"/>
      <c r="E106" s="168" t="s">
        <v>351</v>
      </c>
      <c r="F106" s="166" t="s">
        <v>352</v>
      </c>
      <c r="G106" s="169">
        <v>45784.895208333335</v>
      </c>
      <c r="H106" s="166"/>
    </row>
    <row r="107" spans="1:8" ht="42.6" customHeight="1" x14ac:dyDescent="0.7">
      <c r="A107" s="179">
        <f t="shared" si="1"/>
        <v>102</v>
      </c>
      <c r="B107" s="332"/>
      <c r="C107" s="335"/>
      <c r="D107" s="335"/>
      <c r="E107" s="168" t="s">
        <v>353</v>
      </c>
      <c r="F107" s="166" t="s">
        <v>354</v>
      </c>
      <c r="G107" s="169">
        <v>45784.895208333335</v>
      </c>
      <c r="H107" s="166"/>
    </row>
    <row r="108" spans="1:8" ht="42.6" customHeight="1" x14ac:dyDescent="0.7">
      <c r="A108" s="179">
        <f t="shared" si="1"/>
        <v>103</v>
      </c>
      <c r="B108" s="332"/>
      <c r="C108" s="335"/>
      <c r="D108" s="335"/>
      <c r="E108" s="168" t="s">
        <v>355</v>
      </c>
      <c r="F108" s="166" t="s">
        <v>356</v>
      </c>
      <c r="G108" s="169">
        <v>45784.895208333335</v>
      </c>
      <c r="H108" s="166"/>
    </row>
    <row r="109" spans="1:8" ht="42.6" customHeight="1" x14ac:dyDescent="0.7">
      <c r="A109" s="179">
        <f t="shared" si="1"/>
        <v>104</v>
      </c>
      <c r="B109" s="332"/>
      <c r="C109" s="335"/>
      <c r="D109" s="335"/>
      <c r="E109" s="168" t="s">
        <v>357</v>
      </c>
      <c r="F109" s="166" t="s">
        <v>358</v>
      </c>
      <c r="G109" s="169">
        <v>45784.895208333335</v>
      </c>
      <c r="H109" s="166"/>
    </row>
    <row r="110" spans="1:8" ht="28.8" customHeight="1" x14ac:dyDescent="0.7">
      <c r="A110" s="179">
        <f t="shared" si="1"/>
        <v>105</v>
      </c>
      <c r="B110" s="332"/>
      <c r="C110" s="335"/>
      <c r="D110" s="335"/>
      <c r="E110" s="168" t="s">
        <v>359</v>
      </c>
      <c r="F110" s="166" t="s">
        <v>360</v>
      </c>
      <c r="G110" s="169">
        <v>45784.895208333335</v>
      </c>
      <c r="H110" s="166"/>
    </row>
    <row r="111" spans="1:8" ht="42.6" customHeight="1" x14ac:dyDescent="0.7">
      <c r="A111" s="179">
        <f t="shared" si="1"/>
        <v>106</v>
      </c>
      <c r="B111" s="332"/>
      <c r="C111" s="335"/>
      <c r="D111" s="335"/>
      <c r="E111" s="168" t="s">
        <v>361</v>
      </c>
      <c r="F111" s="166" t="s">
        <v>362</v>
      </c>
      <c r="G111" s="169">
        <v>45784.895208333335</v>
      </c>
      <c r="H111" s="166"/>
    </row>
    <row r="112" spans="1:8" ht="42.6" customHeight="1" x14ac:dyDescent="0.7">
      <c r="A112" s="179">
        <f t="shared" si="1"/>
        <v>107</v>
      </c>
      <c r="B112" s="332"/>
      <c r="C112" s="335"/>
      <c r="D112" s="335"/>
      <c r="E112" s="168" t="s">
        <v>363</v>
      </c>
      <c r="F112" s="166" t="s">
        <v>364</v>
      </c>
      <c r="G112" s="169">
        <v>45784.895208333335</v>
      </c>
      <c r="H112" s="166"/>
    </row>
    <row r="113" spans="1:8" ht="42.6" customHeight="1" x14ac:dyDescent="0.7">
      <c r="A113" s="179">
        <f t="shared" si="1"/>
        <v>108</v>
      </c>
      <c r="B113" s="332"/>
      <c r="C113" s="335"/>
      <c r="D113" s="335"/>
      <c r="E113" s="168" t="s">
        <v>365</v>
      </c>
      <c r="F113" s="166" t="s">
        <v>366</v>
      </c>
      <c r="G113" s="169">
        <v>45784.895208333335</v>
      </c>
      <c r="H113" s="166"/>
    </row>
    <row r="114" spans="1:8" ht="42.6" customHeight="1" x14ac:dyDescent="0.7">
      <c r="A114" s="179">
        <f t="shared" si="1"/>
        <v>109</v>
      </c>
      <c r="B114" s="332"/>
      <c r="C114" s="335"/>
      <c r="D114" s="335"/>
      <c r="E114" s="168" t="s">
        <v>367</v>
      </c>
      <c r="F114" s="166" t="s">
        <v>282</v>
      </c>
      <c r="G114" s="169">
        <v>45784.895208333335</v>
      </c>
      <c r="H114" s="166"/>
    </row>
    <row r="115" spans="1:8" ht="28.8" customHeight="1" x14ac:dyDescent="0.7">
      <c r="A115" s="179">
        <f t="shared" si="1"/>
        <v>110</v>
      </c>
      <c r="B115" s="332"/>
      <c r="C115" s="335"/>
      <c r="D115" s="335"/>
      <c r="E115" s="168" t="s">
        <v>368</v>
      </c>
      <c r="F115" s="166" t="s">
        <v>284</v>
      </c>
      <c r="G115" s="169">
        <v>45784.895208333335</v>
      </c>
      <c r="H115" s="166"/>
    </row>
    <row r="116" spans="1:8" ht="28.8" customHeight="1" x14ac:dyDescent="0.7">
      <c r="A116" s="179">
        <f t="shared" si="1"/>
        <v>111</v>
      </c>
      <c r="B116" s="332"/>
      <c r="C116" s="335"/>
      <c r="D116" s="335"/>
      <c r="E116" s="168" t="s">
        <v>369</v>
      </c>
      <c r="F116" s="166" t="s">
        <v>370</v>
      </c>
      <c r="G116" s="169">
        <v>45784.895208333335</v>
      </c>
      <c r="H116" s="166"/>
    </row>
    <row r="117" spans="1:8" ht="28.8" customHeight="1" x14ac:dyDescent="0.7">
      <c r="A117" s="179">
        <f t="shared" si="1"/>
        <v>112</v>
      </c>
      <c r="B117" s="332"/>
      <c r="C117" s="335"/>
      <c r="D117" s="335"/>
      <c r="E117" s="168" t="s">
        <v>371</v>
      </c>
      <c r="F117" s="166" t="s">
        <v>372</v>
      </c>
      <c r="G117" s="169">
        <v>45784.895208333335</v>
      </c>
      <c r="H117" s="166"/>
    </row>
    <row r="118" spans="1:8" ht="28.8" customHeight="1" x14ac:dyDescent="0.7">
      <c r="A118" s="179">
        <f t="shared" si="1"/>
        <v>113</v>
      </c>
      <c r="B118" s="332"/>
      <c r="C118" s="335"/>
      <c r="D118" s="335"/>
      <c r="E118" s="168" t="s">
        <v>373</v>
      </c>
      <c r="F118" s="166" t="s">
        <v>374</v>
      </c>
      <c r="G118" s="169">
        <v>45784.895208333335</v>
      </c>
      <c r="H118" s="166"/>
    </row>
    <row r="119" spans="1:8" ht="42.6" customHeight="1" x14ac:dyDescent="0.7">
      <c r="A119" s="179">
        <f t="shared" si="1"/>
        <v>114</v>
      </c>
      <c r="B119" s="332"/>
      <c r="C119" s="335"/>
      <c r="D119" s="335"/>
      <c r="E119" s="168" t="s">
        <v>375</v>
      </c>
      <c r="F119" s="166" t="s">
        <v>376</v>
      </c>
      <c r="G119" s="169">
        <v>45784.895208333335</v>
      </c>
      <c r="H119" s="166"/>
    </row>
    <row r="120" spans="1:8" ht="42.6" customHeight="1" x14ac:dyDescent="0.7">
      <c r="A120" s="179">
        <f t="shared" si="1"/>
        <v>115</v>
      </c>
      <c r="B120" s="332"/>
      <c r="C120" s="335"/>
      <c r="D120" s="335"/>
      <c r="E120" s="168" t="s">
        <v>377</v>
      </c>
      <c r="F120" s="166" t="s">
        <v>378</v>
      </c>
      <c r="G120" s="169">
        <v>45784.895208333335</v>
      </c>
      <c r="H120" s="166"/>
    </row>
    <row r="121" spans="1:8" ht="42.6" customHeight="1" x14ac:dyDescent="0.7">
      <c r="A121" s="179">
        <f t="shared" si="1"/>
        <v>116</v>
      </c>
      <c r="B121" s="332"/>
      <c r="C121" s="335"/>
      <c r="D121" s="335"/>
      <c r="E121" s="168" t="s">
        <v>379</v>
      </c>
      <c r="F121" s="166" t="s">
        <v>380</v>
      </c>
      <c r="G121" s="169">
        <v>45784.895208333335</v>
      </c>
      <c r="H121" s="166"/>
    </row>
    <row r="122" spans="1:8" ht="42.6" customHeight="1" x14ac:dyDescent="0.7">
      <c r="A122" s="179">
        <f t="shared" si="1"/>
        <v>117</v>
      </c>
      <c r="B122" s="332"/>
      <c r="C122" s="335"/>
      <c r="D122" s="335"/>
      <c r="E122" s="168" t="s">
        <v>381</v>
      </c>
      <c r="F122" s="166" t="s">
        <v>382</v>
      </c>
      <c r="G122" s="169">
        <v>45784.895208333335</v>
      </c>
      <c r="H122" s="166"/>
    </row>
    <row r="123" spans="1:8" ht="42.6" customHeight="1" x14ac:dyDescent="0.7">
      <c r="A123" s="179">
        <f t="shared" si="1"/>
        <v>118</v>
      </c>
      <c r="B123" s="332"/>
      <c r="C123" s="335"/>
      <c r="D123" s="335"/>
      <c r="E123" s="168" t="s">
        <v>383</v>
      </c>
      <c r="F123" s="166" t="s">
        <v>384</v>
      </c>
      <c r="G123" s="169">
        <v>45784.895208333335</v>
      </c>
      <c r="H123" s="166"/>
    </row>
    <row r="124" spans="1:8" ht="28.8" customHeight="1" x14ac:dyDescent="0.7">
      <c r="A124" s="179">
        <f t="shared" si="1"/>
        <v>119</v>
      </c>
      <c r="B124" s="332"/>
      <c r="C124" s="335"/>
      <c r="D124" s="335"/>
      <c r="E124" s="168" t="s">
        <v>385</v>
      </c>
      <c r="F124" s="166" t="s">
        <v>386</v>
      </c>
      <c r="G124" s="169">
        <v>45784.895208333335</v>
      </c>
      <c r="H124" s="166"/>
    </row>
    <row r="125" spans="1:8" ht="28.8" customHeight="1" x14ac:dyDescent="0.7">
      <c r="A125" s="179">
        <f t="shared" si="1"/>
        <v>120</v>
      </c>
      <c r="B125" s="332"/>
      <c r="C125" s="335"/>
      <c r="D125" s="335"/>
      <c r="E125" s="168" t="s">
        <v>387</v>
      </c>
      <c r="F125" s="166" t="s">
        <v>388</v>
      </c>
      <c r="G125" s="169">
        <v>45784.895208333335</v>
      </c>
      <c r="H125" s="166"/>
    </row>
    <row r="126" spans="1:8" ht="28.8" customHeight="1" x14ac:dyDescent="0.7">
      <c r="A126" s="179">
        <f t="shared" si="1"/>
        <v>121</v>
      </c>
      <c r="B126" s="332"/>
      <c r="C126" s="335"/>
      <c r="D126" s="335"/>
      <c r="E126" s="168" t="s">
        <v>389</v>
      </c>
      <c r="F126" s="166" t="s">
        <v>390</v>
      </c>
      <c r="G126" s="169">
        <v>45784.895208333335</v>
      </c>
      <c r="H126" s="166"/>
    </row>
    <row r="127" spans="1:8" ht="42.6" customHeight="1" x14ac:dyDescent="0.7">
      <c r="A127" s="179">
        <f t="shared" si="1"/>
        <v>122</v>
      </c>
      <c r="B127" s="332"/>
      <c r="C127" s="335"/>
      <c r="D127" s="335"/>
      <c r="E127" s="168" t="s">
        <v>391</v>
      </c>
      <c r="F127" s="166" t="s">
        <v>392</v>
      </c>
      <c r="G127" s="169">
        <v>45784.895208333335</v>
      </c>
      <c r="H127" s="166"/>
    </row>
    <row r="128" spans="1:8" ht="28.8" customHeight="1" x14ac:dyDescent="0.7">
      <c r="A128" s="179">
        <f t="shared" si="1"/>
        <v>123</v>
      </c>
      <c r="B128" s="332"/>
      <c r="C128" s="335"/>
      <c r="D128" s="335"/>
      <c r="E128" s="168" t="s">
        <v>393</v>
      </c>
      <c r="F128" s="166" t="s">
        <v>394</v>
      </c>
      <c r="G128" s="169">
        <v>45784.895208333335</v>
      </c>
      <c r="H128" s="166"/>
    </row>
    <row r="129" spans="1:8" ht="42.6" customHeight="1" x14ac:dyDescent="0.7">
      <c r="A129" s="179">
        <f t="shared" si="1"/>
        <v>124</v>
      </c>
      <c r="B129" s="332"/>
      <c r="C129" s="335"/>
      <c r="D129" s="335"/>
      <c r="E129" s="168" t="s">
        <v>395</v>
      </c>
      <c r="F129" s="166" t="s">
        <v>396</v>
      </c>
      <c r="G129" s="169">
        <v>45784.895208333335</v>
      </c>
      <c r="H129" s="166"/>
    </row>
    <row r="130" spans="1:8" ht="42.6" customHeight="1" x14ac:dyDescent="0.7">
      <c r="A130" s="179">
        <f t="shared" si="1"/>
        <v>125</v>
      </c>
      <c r="B130" s="332"/>
      <c r="C130" s="335"/>
      <c r="D130" s="335"/>
      <c r="E130" s="168" t="s">
        <v>397</v>
      </c>
      <c r="F130" s="166" t="s">
        <v>398</v>
      </c>
      <c r="G130" s="169">
        <v>45784.895208333335</v>
      </c>
      <c r="H130" s="166"/>
    </row>
    <row r="131" spans="1:8" ht="42.6" customHeight="1" x14ac:dyDescent="0.7">
      <c r="A131" s="179">
        <f t="shared" si="1"/>
        <v>126</v>
      </c>
      <c r="B131" s="332"/>
      <c r="C131" s="335"/>
      <c r="D131" s="335"/>
      <c r="E131" s="168" t="s">
        <v>399</v>
      </c>
      <c r="F131" s="166" t="s">
        <v>400</v>
      </c>
      <c r="G131" s="169">
        <v>45784.895208333335</v>
      </c>
      <c r="H131" s="166"/>
    </row>
    <row r="132" spans="1:8" ht="42.6" customHeight="1" x14ac:dyDescent="0.7">
      <c r="A132" s="179">
        <f t="shared" si="1"/>
        <v>127</v>
      </c>
      <c r="B132" s="332"/>
      <c r="C132" s="335"/>
      <c r="D132" s="335"/>
      <c r="E132" s="168" t="s">
        <v>401</v>
      </c>
      <c r="F132" s="166" t="s">
        <v>402</v>
      </c>
      <c r="G132" s="169">
        <v>45784.895208333335</v>
      </c>
      <c r="H132" s="166"/>
    </row>
    <row r="133" spans="1:8" ht="28.8" customHeight="1" x14ac:dyDescent="0.7">
      <c r="A133" s="179">
        <f t="shared" si="1"/>
        <v>128</v>
      </c>
      <c r="B133" s="332"/>
      <c r="C133" s="335"/>
      <c r="D133" s="335"/>
      <c r="E133" s="168" t="s">
        <v>403</v>
      </c>
      <c r="F133" s="166" t="s">
        <v>404</v>
      </c>
      <c r="G133" s="169">
        <v>45784.895208333335</v>
      </c>
      <c r="H133" s="166"/>
    </row>
    <row r="134" spans="1:8" ht="42.6" customHeight="1" x14ac:dyDescent="0.7">
      <c r="A134" s="179">
        <f t="shared" ref="A134:A197" si="2">ROW()-5</f>
        <v>129</v>
      </c>
      <c r="B134" s="332"/>
      <c r="C134" s="335"/>
      <c r="D134" s="335"/>
      <c r="E134" s="168" t="s">
        <v>405</v>
      </c>
      <c r="F134" s="166" t="s">
        <v>406</v>
      </c>
      <c r="G134" s="169">
        <v>45784.895208333335</v>
      </c>
      <c r="H134" s="166"/>
    </row>
    <row r="135" spans="1:8" ht="42.6" customHeight="1" x14ac:dyDescent="0.7">
      <c r="A135" s="179">
        <f t="shared" si="2"/>
        <v>130</v>
      </c>
      <c r="B135" s="332"/>
      <c r="C135" s="335"/>
      <c r="D135" s="335"/>
      <c r="E135" s="168" t="s">
        <v>407</v>
      </c>
      <c r="F135" s="166" t="s">
        <v>266</v>
      </c>
      <c r="G135" s="169">
        <v>45784.895208333335</v>
      </c>
      <c r="H135" s="166"/>
    </row>
    <row r="136" spans="1:8" ht="42.6" customHeight="1" x14ac:dyDescent="0.7">
      <c r="A136" s="179">
        <f t="shared" si="2"/>
        <v>131</v>
      </c>
      <c r="B136" s="332"/>
      <c r="C136" s="335"/>
      <c r="D136" s="335"/>
      <c r="E136" s="168" t="s">
        <v>408</v>
      </c>
      <c r="F136" s="166" t="s">
        <v>358</v>
      </c>
      <c r="G136" s="169">
        <v>45784.895208333335</v>
      </c>
      <c r="H136" s="166"/>
    </row>
    <row r="137" spans="1:8" ht="28.8" customHeight="1" x14ac:dyDescent="0.7">
      <c r="A137" s="179">
        <f t="shared" si="2"/>
        <v>132</v>
      </c>
      <c r="B137" s="332"/>
      <c r="C137" s="335"/>
      <c r="D137" s="335"/>
      <c r="E137" s="168" t="s">
        <v>409</v>
      </c>
      <c r="F137" s="166" t="s">
        <v>274</v>
      </c>
      <c r="G137" s="169">
        <v>45784.895208333335</v>
      </c>
      <c r="H137" s="166"/>
    </row>
    <row r="138" spans="1:8" ht="42.6" customHeight="1" x14ac:dyDescent="0.7">
      <c r="A138" s="179">
        <f t="shared" si="2"/>
        <v>133</v>
      </c>
      <c r="B138" s="332"/>
      <c r="C138" s="335"/>
      <c r="D138" s="335"/>
      <c r="E138" s="168" t="s">
        <v>410</v>
      </c>
      <c r="F138" s="166" t="s">
        <v>411</v>
      </c>
      <c r="G138" s="169">
        <v>45784.895208333335</v>
      </c>
      <c r="H138" s="166"/>
    </row>
    <row r="139" spans="1:8" ht="42.6" customHeight="1" x14ac:dyDescent="0.7">
      <c r="A139" s="179">
        <f t="shared" si="2"/>
        <v>134</v>
      </c>
      <c r="B139" s="332"/>
      <c r="C139" s="335"/>
      <c r="D139" s="335"/>
      <c r="E139" s="168" t="s">
        <v>412</v>
      </c>
      <c r="F139" s="166" t="s">
        <v>364</v>
      </c>
      <c r="G139" s="169">
        <v>45784.895208333335</v>
      </c>
      <c r="H139" s="166"/>
    </row>
    <row r="140" spans="1:8" ht="42.6" customHeight="1" x14ac:dyDescent="0.7">
      <c r="A140" s="179">
        <f t="shared" si="2"/>
        <v>135</v>
      </c>
      <c r="B140" s="332"/>
      <c r="C140" s="335"/>
      <c r="D140" s="335"/>
      <c r="E140" s="168" t="s">
        <v>413</v>
      </c>
      <c r="F140" s="166" t="s">
        <v>366</v>
      </c>
      <c r="G140" s="169">
        <v>45784.895208333335</v>
      </c>
      <c r="H140" s="166"/>
    </row>
    <row r="141" spans="1:8" ht="28.8" customHeight="1" x14ac:dyDescent="0.7">
      <c r="A141" s="179">
        <f t="shared" si="2"/>
        <v>136</v>
      </c>
      <c r="B141" s="332"/>
      <c r="C141" s="335"/>
      <c r="D141" s="335"/>
      <c r="E141" s="168" t="s">
        <v>414</v>
      </c>
      <c r="F141" s="166" t="s">
        <v>415</v>
      </c>
      <c r="G141" s="169">
        <v>45784.895208333335</v>
      </c>
      <c r="H141" s="166"/>
    </row>
    <row r="142" spans="1:8" ht="28.8" customHeight="1" x14ac:dyDescent="0.7">
      <c r="A142" s="179">
        <f t="shared" si="2"/>
        <v>137</v>
      </c>
      <c r="B142" s="332"/>
      <c r="C142" s="335"/>
      <c r="D142" s="335"/>
      <c r="E142" s="168" t="s">
        <v>416</v>
      </c>
      <c r="F142" s="166" t="s">
        <v>417</v>
      </c>
      <c r="G142" s="169">
        <v>45784.895208333335</v>
      </c>
      <c r="H142" s="166"/>
    </row>
    <row r="143" spans="1:8" ht="42.6" customHeight="1" x14ac:dyDescent="0.7">
      <c r="A143" s="179">
        <f t="shared" si="2"/>
        <v>138</v>
      </c>
      <c r="B143" s="332"/>
      <c r="C143" s="335"/>
      <c r="D143" s="335"/>
      <c r="E143" s="168" t="s">
        <v>418</v>
      </c>
      <c r="F143" s="166" t="s">
        <v>419</v>
      </c>
      <c r="G143" s="169">
        <v>45784.895208333335</v>
      </c>
      <c r="H143" s="166"/>
    </row>
    <row r="144" spans="1:8" ht="42.6" customHeight="1" x14ac:dyDescent="0.7">
      <c r="A144" s="179">
        <f t="shared" si="2"/>
        <v>139</v>
      </c>
      <c r="B144" s="332"/>
      <c r="C144" s="335"/>
      <c r="D144" s="335"/>
      <c r="E144" s="168" t="s">
        <v>420</v>
      </c>
      <c r="F144" s="166" t="s">
        <v>421</v>
      </c>
      <c r="G144" s="169">
        <v>45784.895208333335</v>
      </c>
      <c r="H144" s="166"/>
    </row>
    <row r="145" spans="1:8" ht="42.6" customHeight="1" x14ac:dyDescent="0.7">
      <c r="A145" s="179">
        <f t="shared" si="2"/>
        <v>140</v>
      </c>
      <c r="B145" s="332"/>
      <c r="C145" s="335"/>
      <c r="D145" s="335"/>
      <c r="E145" s="168" t="s">
        <v>422</v>
      </c>
      <c r="F145" s="166" t="s">
        <v>423</v>
      </c>
      <c r="G145" s="169">
        <v>45784.895208333335</v>
      </c>
      <c r="H145" s="166"/>
    </row>
    <row r="146" spans="1:8" ht="28.8" customHeight="1" x14ac:dyDescent="0.7">
      <c r="A146" s="179">
        <f t="shared" si="2"/>
        <v>141</v>
      </c>
      <c r="B146" s="332"/>
      <c r="C146" s="335"/>
      <c r="D146" s="335"/>
      <c r="E146" s="168" t="s">
        <v>424</v>
      </c>
      <c r="F146" s="166" t="s">
        <v>425</v>
      </c>
      <c r="G146" s="169">
        <v>45784.895208333335</v>
      </c>
      <c r="H146" s="166"/>
    </row>
    <row r="147" spans="1:8" ht="42.6" customHeight="1" x14ac:dyDescent="0.7">
      <c r="A147" s="179">
        <f t="shared" si="2"/>
        <v>142</v>
      </c>
      <c r="B147" s="332"/>
      <c r="C147" s="335"/>
      <c r="D147" s="335"/>
      <c r="E147" s="168" t="s">
        <v>426</v>
      </c>
      <c r="F147" s="166" t="s">
        <v>427</v>
      </c>
      <c r="G147" s="169">
        <v>45784.895208333335</v>
      </c>
      <c r="H147" s="166"/>
    </row>
    <row r="148" spans="1:8" ht="42.6" customHeight="1" x14ac:dyDescent="0.7">
      <c r="A148" s="179">
        <f t="shared" si="2"/>
        <v>143</v>
      </c>
      <c r="B148" s="332"/>
      <c r="C148" s="335"/>
      <c r="D148" s="335"/>
      <c r="E148" s="168" t="s">
        <v>428</v>
      </c>
      <c r="F148" s="166" t="s">
        <v>429</v>
      </c>
      <c r="G148" s="169">
        <v>45784.895208333335</v>
      </c>
      <c r="H148" s="166"/>
    </row>
    <row r="149" spans="1:8" ht="42.6" customHeight="1" x14ac:dyDescent="0.7">
      <c r="A149" s="179">
        <f t="shared" si="2"/>
        <v>144</v>
      </c>
      <c r="B149" s="332"/>
      <c r="C149" s="335"/>
      <c r="D149" s="335"/>
      <c r="E149" s="168" t="s">
        <v>430</v>
      </c>
      <c r="F149" s="166" t="s">
        <v>300</v>
      </c>
      <c r="G149" s="169">
        <v>45784.895208333335</v>
      </c>
      <c r="H149" s="166"/>
    </row>
    <row r="150" spans="1:8" ht="42.6" customHeight="1" x14ac:dyDescent="0.7">
      <c r="A150" s="179">
        <f t="shared" si="2"/>
        <v>145</v>
      </c>
      <c r="B150" s="332"/>
      <c r="C150" s="335"/>
      <c r="D150" s="335"/>
      <c r="E150" s="168" t="s">
        <v>431</v>
      </c>
      <c r="F150" s="166" t="s">
        <v>432</v>
      </c>
      <c r="G150" s="169">
        <v>45784.895208333335</v>
      </c>
      <c r="H150" s="166"/>
    </row>
    <row r="151" spans="1:8" ht="28.8" customHeight="1" x14ac:dyDescent="0.7">
      <c r="A151" s="179">
        <f t="shared" si="2"/>
        <v>146</v>
      </c>
      <c r="B151" s="332"/>
      <c r="C151" s="335"/>
      <c r="D151" s="335"/>
      <c r="E151" s="168" t="s">
        <v>433</v>
      </c>
      <c r="F151" s="166" t="s">
        <v>434</v>
      </c>
      <c r="G151" s="169">
        <v>45784.895208333335</v>
      </c>
      <c r="H151" s="166"/>
    </row>
    <row r="152" spans="1:8" ht="42.6" customHeight="1" x14ac:dyDescent="0.7">
      <c r="A152" s="179">
        <f t="shared" si="2"/>
        <v>147</v>
      </c>
      <c r="B152" s="332"/>
      <c r="C152" s="335"/>
      <c r="D152" s="335"/>
      <c r="E152" s="168" t="s">
        <v>435</v>
      </c>
      <c r="F152" s="166" t="s">
        <v>436</v>
      </c>
      <c r="G152" s="169">
        <v>45784.895208333335</v>
      </c>
      <c r="H152" s="166"/>
    </row>
    <row r="153" spans="1:8" ht="28.8" customHeight="1" x14ac:dyDescent="0.7">
      <c r="A153" s="179">
        <f t="shared" si="2"/>
        <v>148</v>
      </c>
      <c r="B153" s="332"/>
      <c r="C153" s="335"/>
      <c r="D153" s="335"/>
      <c r="E153" s="168" t="s">
        <v>437</v>
      </c>
      <c r="F153" s="166" t="s">
        <v>438</v>
      </c>
      <c r="G153" s="169">
        <v>45784.895208333335</v>
      </c>
      <c r="H153" s="166"/>
    </row>
    <row r="154" spans="1:8" ht="42.6" customHeight="1" x14ac:dyDescent="0.7">
      <c r="A154" s="179">
        <f t="shared" si="2"/>
        <v>149</v>
      </c>
      <c r="B154" s="332"/>
      <c r="C154" s="335"/>
      <c r="D154" s="335"/>
      <c r="E154" s="168" t="s">
        <v>439</v>
      </c>
      <c r="F154" s="166" t="s">
        <v>440</v>
      </c>
      <c r="G154" s="169">
        <v>45784.895208333335</v>
      </c>
      <c r="H154" s="166"/>
    </row>
    <row r="155" spans="1:8" ht="42.6" customHeight="1" x14ac:dyDescent="0.7">
      <c r="A155" s="179">
        <f t="shared" si="2"/>
        <v>150</v>
      </c>
      <c r="B155" s="332"/>
      <c r="C155" s="335"/>
      <c r="D155" s="335"/>
      <c r="E155" s="168" t="s">
        <v>441</v>
      </c>
      <c r="F155" s="166" t="s">
        <v>442</v>
      </c>
      <c r="G155" s="169">
        <v>45784.895208333335</v>
      </c>
      <c r="H155" s="166"/>
    </row>
    <row r="156" spans="1:8" ht="42.6" customHeight="1" x14ac:dyDescent="0.7">
      <c r="A156" s="179">
        <f t="shared" si="2"/>
        <v>151</v>
      </c>
      <c r="B156" s="332"/>
      <c r="C156" s="335"/>
      <c r="D156" s="335"/>
      <c r="E156" s="168" t="s">
        <v>443</v>
      </c>
      <c r="F156" s="166" t="s">
        <v>444</v>
      </c>
      <c r="G156" s="169">
        <v>45784.895208333335</v>
      </c>
      <c r="H156" s="166"/>
    </row>
    <row r="157" spans="1:8" ht="42.6" customHeight="1" x14ac:dyDescent="0.7">
      <c r="A157" s="179">
        <f t="shared" si="2"/>
        <v>152</v>
      </c>
      <c r="B157" s="332"/>
      <c r="C157" s="335"/>
      <c r="D157" s="335"/>
      <c r="E157" s="168" t="s">
        <v>445</v>
      </c>
      <c r="F157" s="166" t="s">
        <v>446</v>
      </c>
      <c r="G157" s="169">
        <v>45784.895208333335</v>
      </c>
      <c r="H157" s="166"/>
    </row>
    <row r="158" spans="1:8" ht="42.6" customHeight="1" x14ac:dyDescent="0.7">
      <c r="A158" s="179">
        <f t="shared" si="2"/>
        <v>153</v>
      </c>
      <c r="B158" s="332"/>
      <c r="C158" s="335"/>
      <c r="D158" s="335"/>
      <c r="E158" s="168" t="s">
        <v>447</v>
      </c>
      <c r="F158" s="166" t="s">
        <v>448</v>
      </c>
      <c r="G158" s="169">
        <v>45784.895208333335</v>
      </c>
      <c r="H158" s="166"/>
    </row>
    <row r="159" spans="1:8" ht="42.6" customHeight="1" x14ac:dyDescent="0.7">
      <c r="A159" s="179">
        <f t="shared" si="2"/>
        <v>154</v>
      </c>
      <c r="B159" s="332"/>
      <c r="C159" s="335"/>
      <c r="D159" s="335"/>
      <c r="E159" s="168" t="s">
        <v>449</v>
      </c>
      <c r="F159" s="166" t="s">
        <v>450</v>
      </c>
      <c r="G159" s="169">
        <v>45784.895208333335</v>
      </c>
      <c r="H159" s="166"/>
    </row>
    <row r="160" spans="1:8" ht="42.6" customHeight="1" x14ac:dyDescent="0.7">
      <c r="A160" s="179">
        <f t="shared" si="2"/>
        <v>155</v>
      </c>
      <c r="B160" s="332"/>
      <c r="C160" s="335"/>
      <c r="D160" s="335"/>
      <c r="E160" s="168" t="s">
        <v>451</v>
      </c>
      <c r="F160" s="166" t="s">
        <v>452</v>
      </c>
      <c r="G160" s="169">
        <v>45784.895208333335</v>
      </c>
      <c r="H160" s="166"/>
    </row>
    <row r="161" spans="1:8" ht="28.8" customHeight="1" x14ac:dyDescent="0.7">
      <c r="A161" s="179">
        <f t="shared" si="2"/>
        <v>156</v>
      </c>
      <c r="B161" s="332"/>
      <c r="C161" s="335"/>
      <c r="D161" s="335"/>
      <c r="E161" s="168" t="s">
        <v>453</v>
      </c>
      <c r="F161" s="166" t="s">
        <v>454</v>
      </c>
      <c r="G161" s="169">
        <v>45784.895208333335</v>
      </c>
      <c r="H161" s="166"/>
    </row>
    <row r="162" spans="1:8" ht="42.6" customHeight="1" x14ac:dyDescent="0.7">
      <c r="A162" s="179">
        <f t="shared" si="2"/>
        <v>157</v>
      </c>
      <c r="B162" s="332"/>
      <c r="C162" s="335"/>
      <c r="D162" s="335"/>
      <c r="E162" s="168" t="s">
        <v>455</v>
      </c>
      <c r="F162" s="166" t="s">
        <v>456</v>
      </c>
      <c r="G162" s="169">
        <v>45784.895208333335</v>
      </c>
      <c r="H162" s="166"/>
    </row>
    <row r="163" spans="1:8" ht="28.8" customHeight="1" x14ac:dyDescent="0.7">
      <c r="A163" s="179">
        <f t="shared" si="2"/>
        <v>158</v>
      </c>
      <c r="B163" s="332"/>
      <c r="C163" s="335"/>
      <c r="D163" s="335"/>
      <c r="E163" s="168" t="s">
        <v>457</v>
      </c>
      <c r="F163" s="166" t="s">
        <v>458</v>
      </c>
      <c r="G163" s="169">
        <v>45784.895208333335</v>
      </c>
      <c r="H163" s="166"/>
    </row>
    <row r="164" spans="1:8" ht="28.8" customHeight="1" x14ac:dyDescent="0.7">
      <c r="A164" s="179">
        <f t="shared" si="2"/>
        <v>159</v>
      </c>
      <c r="B164" s="332"/>
      <c r="C164" s="335"/>
      <c r="D164" s="335"/>
      <c r="E164" s="168" t="s">
        <v>459</v>
      </c>
      <c r="F164" s="166" t="s">
        <v>460</v>
      </c>
      <c r="G164" s="169">
        <v>45784.895208333335</v>
      </c>
      <c r="H164" s="166"/>
    </row>
    <row r="165" spans="1:8" ht="28.8" customHeight="1" x14ac:dyDescent="0.7">
      <c r="A165" s="179">
        <f t="shared" si="2"/>
        <v>160</v>
      </c>
      <c r="B165" s="332"/>
      <c r="C165" s="335"/>
      <c r="D165" s="335"/>
      <c r="E165" s="168" t="s">
        <v>461</v>
      </c>
      <c r="F165" s="166" t="s">
        <v>462</v>
      </c>
      <c r="G165" s="169">
        <v>45784.895208333335</v>
      </c>
      <c r="H165" s="166"/>
    </row>
    <row r="166" spans="1:8" ht="28.8" customHeight="1" x14ac:dyDescent="0.7">
      <c r="A166" s="179">
        <f t="shared" si="2"/>
        <v>161</v>
      </c>
      <c r="B166" s="333"/>
      <c r="C166" s="336"/>
      <c r="D166" s="336"/>
      <c r="E166" s="168" t="s">
        <v>463</v>
      </c>
      <c r="F166" s="166" t="s">
        <v>464</v>
      </c>
      <c r="G166" s="169">
        <v>45784.895208333335</v>
      </c>
      <c r="H166" s="166"/>
    </row>
    <row r="167" spans="1:8" ht="28.8" customHeight="1" x14ac:dyDescent="0.7">
      <c r="A167" s="179">
        <f t="shared" si="2"/>
        <v>162</v>
      </c>
      <c r="B167" s="165" t="s">
        <v>465</v>
      </c>
      <c r="C167" s="166" t="s">
        <v>466</v>
      </c>
      <c r="D167" s="167" t="s">
        <v>136</v>
      </c>
      <c r="E167" s="168"/>
      <c r="F167" s="166"/>
      <c r="G167" s="170"/>
      <c r="H167" s="166"/>
    </row>
    <row r="168" spans="1:8" ht="42.6" customHeight="1" x14ac:dyDescent="0.7">
      <c r="A168" s="179">
        <f t="shared" si="2"/>
        <v>163</v>
      </c>
      <c r="B168" s="165" t="s">
        <v>467</v>
      </c>
      <c r="C168" s="166" t="s">
        <v>468</v>
      </c>
      <c r="D168" s="167" t="s">
        <v>136</v>
      </c>
      <c r="E168" s="168"/>
      <c r="F168" s="166"/>
      <c r="G168" s="170"/>
      <c r="H168" s="166"/>
    </row>
    <row r="169" spans="1:8" ht="42.6" customHeight="1" x14ac:dyDescent="0.7">
      <c r="A169" s="179">
        <f t="shared" si="2"/>
        <v>164</v>
      </c>
      <c r="B169" s="165" t="s">
        <v>469</v>
      </c>
      <c r="C169" s="166" t="s">
        <v>470</v>
      </c>
      <c r="D169" s="167" t="s">
        <v>136</v>
      </c>
      <c r="E169" s="168"/>
      <c r="F169" s="166"/>
      <c r="G169" s="170"/>
      <c r="H169" s="166"/>
    </row>
    <row r="170" spans="1:8" ht="42.6" customHeight="1" x14ac:dyDescent="0.7">
      <c r="A170" s="179">
        <f t="shared" si="2"/>
        <v>165</v>
      </c>
      <c r="B170" s="165" t="s">
        <v>471</v>
      </c>
      <c r="C170" s="166" t="s">
        <v>472</v>
      </c>
      <c r="D170" s="167" t="s">
        <v>136</v>
      </c>
      <c r="E170" s="168"/>
      <c r="F170" s="166"/>
      <c r="G170" s="170"/>
      <c r="H170" s="166"/>
    </row>
    <row r="171" spans="1:8" ht="56.4" customHeight="1" x14ac:dyDescent="0.7">
      <c r="A171" s="179">
        <f t="shared" si="2"/>
        <v>166</v>
      </c>
      <c r="B171" s="165" t="s">
        <v>473</v>
      </c>
      <c r="C171" s="166" t="s">
        <v>474</v>
      </c>
      <c r="D171" s="167" t="s">
        <v>186</v>
      </c>
      <c r="E171" s="168"/>
      <c r="F171" s="166"/>
      <c r="G171" s="170"/>
      <c r="H171" s="166"/>
    </row>
    <row r="172" spans="1:8" ht="28.8" customHeight="1" x14ac:dyDescent="0.7">
      <c r="A172" s="179">
        <f t="shared" si="2"/>
        <v>167</v>
      </c>
      <c r="B172" s="165" t="s">
        <v>475</v>
      </c>
      <c r="C172" s="166" t="s">
        <v>476</v>
      </c>
      <c r="D172" s="167" t="s">
        <v>186</v>
      </c>
      <c r="E172" s="168"/>
      <c r="F172" s="166"/>
      <c r="G172" s="170"/>
      <c r="H172" s="166"/>
    </row>
    <row r="173" spans="1:8" ht="42.6" customHeight="1" x14ac:dyDescent="0.7">
      <c r="A173" s="179">
        <f t="shared" si="2"/>
        <v>168</v>
      </c>
      <c r="B173" s="165" t="s">
        <v>477</v>
      </c>
      <c r="C173" s="166" t="s">
        <v>478</v>
      </c>
      <c r="D173" s="167" t="s">
        <v>186</v>
      </c>
      <c r="E173" s="168"/>
      <c r="F173" s="166"/>
      <c r="G173" s="170"/>
      <c r="H173" s="166"/>
    </row>
    <row r="174" spans="1:8" ht="70.2" customHeight="1" x14ac:dyDescent="0.7">
      <c r="A174" s="179">
        <f t="shared" si="2"/>
        <v>169</v>
      </c>
      <c r="B174" s="165" t="s">
        <v>479</v>
      </c>
      <c r="C174" s="166" t="s">
        <v>480</v>
      </c>
      <c r="D174" s="167" t="s">
        <v>136</v>
      </c>
      <c r="E174" s="168"/>
      <c r="F174" s="166"/>
      <c r="G174" s="170"/>
      <c r="H174" s="166"/>
    </row>
    <row r="175" spans="1:8" ht="28.8" customHeight="1" x14ac:dyDescent="0.7">
      <c r="A175" s="179">
        <f t="shared" si="2"/>
        <v>170</v>
      </c>
      <c r="B175" s="165" t="s">
        <v>481</v>
      </c>
      <c r="C175" s="166" t="s">
        <v>482</v>
      </c>
      <c r="D175" s="167" t="s">
        <v>136</v>
      </c>
      <c r="E175" s="168" t="s">
        <v>481</v>
      </c>
      <c r="F175" s="166" t="s">
        <v>483</v>
      </c>
      <c r="G175" s="169">
        <v>45784.895208333335</v>
      </c>
      <c r="H175" s="166"/>
    </row>
    <row r="176" spans="1:8" ht="42.6" customHeight="1" x14ac:dyDescent="0.7">
      <c r="A176" s="179">
        <f t="shared" si="2"/>
        <v>171</v>
      </c>
      <c r="B176" s="165" t="s">
        <v>484</v>
      </c>
      <c r="C176" s="166" t="s">
        <v>485</v>
      </c>
      <c r="D176" s="167" t="s">
        <v>186</v>
      </c>
      <c r="E176" s="168"/>
      <c r="F176" s="166"/>
      <c r="G176" s="170"/>
      <c r="H176" s="166"/>
    </row>
    <row r="177" spans="1:8" ht="28.8" customHeight="1" x14ac:dyDescent="0.7">
      <c r="A177" s="179">
        <f t="shared" si="2"/>
        <v>172</v>
      </c>
      <c r="B177" s="165" t="s">
        <v>486</v>
      </c>
      <c r="C177" s="166" t="s">
        <v>487</v>
      </c>
      <c r="D177" s="167" t="s">
        <v>186</v>
      </c>
      <c r="E177" s="168"/>
      <c r="F177" s="166"/>
      <c r="G177" s="170"/>
      <c r="H177" s="166"/>
    </row>
    <row r="178" spans="1:8" ht="28.8" customHeight="1" x14ac:dyDescent="0.7">
      <c r="A178" s="179">
        <f t="shared" si="2"/>
        <v>173</v>
      </c>
      <c r="B178" s="165" t="s">
        <v>488</v>
      </c>
      <c r="C178" s="166" t="s">
        <v>489</v>
      </c>
      <c r="D178" s="167" t="s">
        <v>186</v>
      </c>
      <c r="E178" s="168"/>
      <c r="F178" s="166"/>
      <c r="G178" s="170"/>
      <c r="H178" s="166"/>
    </row>
    <row r="179" spans="1:8" ht="42.6" customHeight="1" x14ac:dyDescent="0.7">
      <c r="A179" s="179">
        <f t="shared" si="2"/>
        <v>174</v>
      </c>
      <c r="B179" s="165" t="s">
        <v>490</v>
      </c>
      <c r="C179" s="166" t="s">
        <v>491</v>
      </c>
      <c r="D179" s="167" t="s">
        <v>186</v>
      </c>
      <c r="E179" s="168"/>
      <c r="F179" s="166"/>
      <c r="G179" s="170"/>
      <c r="H179" s="166"/>
    </row>
    <row r="180" spans="1:8" ht="28.8" customHeight="1" x14ac:dyDescent="0.7">
      <c r="A180" s="179">
        <f t="shared" si="2"/>
        <v>175</v>
      </c>
      <c r="B180" s="165" t="s">
        <v>492</v>
      </c>
      <c r="C180" s="166" t="s">
        <v>493</v>
      </c>
      <c r="D180" s="167" t="s">
        <v>186</v>
      </c>
      <c r="E180" s="168"/>
      <c r="F180" s="166"/>
      <c r="G180" s="170"/>
      <c r="H180" s="166"/>
    </row>
    <row r="181" spans="1:8" ht="28.8" customHeight="1" x14ac:dyDescent="0.7">
      <c r="A181" s="179">
        <f t="shared" si="2"/>
        <v>176</v>
      </c>
      <c r="B181" s="165" t="s">
        <v>494</v>
      </c>
      <c r="C181" s="166" t="s">
        <v>495</v>
      </c>
      <c r="D181" s="167" t="s">
        <v>186</v>
      </c>
      <c r="E181" s="168"/>
      <c r="F181" s="166"/>
      <c r="G181" s="170"/>
      <c r="H181" s="166"/>
    </row>
    <row r="182" spans="1:8" ht="28.8" customHeight="1" x14ac:dyDescent="0.7">
      <c r="A182" s="179">
        <f t="shared" si="2"/>
        <v>177</v>
      </c>
      <c r="B182" s="165" t="s">
        <v>496</v>
      </c>
      <c r="C182" s="166" t="s">
        <v>497</v>
      </c>
      <c r="D182" s="167" t="s">
        <v>186</v>
      </c>
      <c r="E182" s="168"/>
      <c r="F182" s="166"/>
      <c r="G182" s="170"/>
      <c r="H182" s="166"/>
    </row>
    <row r="183" spans="1:8" ht="28.8" customHeight="1" x14ac:dyDescent="0.7">
      <c r="A183" s="179">
        <f t="shared" si="2"/>
        <v>178</v>
      </c>
      <c r="B183" s="165" t="s">
        <v>498</v>
      </c>
      <c r="C183" s="166" t="s">
        <v>499</v>
      </c>
      <c r="D183" s="167" t="s">
        <v>136</v>
      </c>
      <c r="E183" s="168"/>
      <c r="F183" s="166"/>
      <c r="G183" s="170"/>
      <c r="H183" s="166"/>
    </row>
    <row r="184" spans="1:8" ht="42.6" customHeight="1" x14ac:dyDescent="0.7">
      <c r="A184" s="179">
        <f t="shared" si="2"/>
        <v>179</v>
      </c>
      <c r="B184" s="165" t="s">
        <v>500</v>
      </c>
      <c r="C184" s="166" t="s">
        <v>501</v>
      </c>
      <c r="D184" s="167" t="s">
        <v>136</v>
      </c>
      <c r="E184" s="168"/>
      <c r="F184" s="166"/>
      <c r="G184" s="170"/>
      <c r="H184" s="166"/>
    </row>
    <row r="185" spans="1:8" ht="28.8" customHeight="1" x14ac:dyDescent="0.7">
      <c r="A185" s="179">
        <f t="shared" si="2"/>
        <v>180</v>
      </c>
      <c r="B185" s="165" t="s">
        <v>502</v>
      </c>
      <c r="C185" s="166" t="s">
        <v>92</v>
      </c>
      <c r="D185" s="167" t="s">
        <v>186</v>
      </c>
      <c r="E185" s="168"/>
      <c r="F185" s="166"/>
      <c r="G185" s="170"/>
      <c r="H185" s="166"/>
    </row>
    <row r="186" spans="1:8" ht="42.6" customHeight="1" x14ac:dyDescent="0.7">
      <c r="A186" s="179">
        <f t="shared" si="2"/>
        <v>181</v>
      </c>
      <c r="B186" s="165" t="s">
        <v>503</v>
      </c>
      <c r="C186" s="166" t="s">
        <v>504</v>
      </c>
      <c r="D186" s="167" t="s">
        <v>186</v>
      </c>
      <c r="E186" s="168"/>
      <c r="F186" s="166"/>
      <c r="G186" s="170"/>
      <c r="H186" s="166"/>
    </row>
    <row r="187" spans="1:8" ht="28.8" customHeight="1" x14ac:dyDescent="0.7">
      <c r="A187" s="179">
        <f t="shared" si="2"/>
        <v>182</v>
      </c>
      <c r="B187" s="165" t="s">
        <v>505</v>
      </c>
      <c r="C187" s="166" t="s">
        <v>506</v>
      </c>
      <c r="D187" s="167" t="s">
        <v>186</v>
      </c>
      <c r="E187" s="168"/>
      <c r="F187" s="166"/>
      <c r="G187" s="170"/>
      <c r="H187" s="166"/>
    </row>
    <row r="188" spans="1:8" ht="56.4" customHeight="1" x14ac:dyDescent="0.7">
      <c r="A188" s="179">
        <f t="shared" si="2"/>
        <v>183</v>
      </c>
      <c r="B188" s="325" t="s">
        <v>507</v>
      </c>
      <c r="C188" s="328" t="s">
        <v>508</v>
      </c>
      <c r="D188" s="328" t="s">
        <v>136</v>
      </c>
      <c r="E188" s="168" t="s">
        <v>509</v>
      </c>
      <c r="F188" s="166" t="s">
        <v>510</v>
      </c>
      <c r="G188" s="169">
        <v>45784.895208333335</v>
      </c>
      <c r="H188" s="166"/>
    </row>
    <row r="189" spans="1:8" ht="56.4" customHeight="1" x14ac:dyDescent="0.7">
      <c r="A189" s="179">
        <f t="shared" si="2"/>
        <v>184</v>
      </c>
      <c r="B189" s="327"/>
      <c r="C189" s="330"/>
      <c r="D189" s="330"/>
      <c r="E189" s="168" t="s">
        <v>511</v>
      </c>
      <c r="F189" s="166" t="s">
        <v>512</v>
      </c>
      <c r="G189" s="169">
        <v>45784.895208333335</v>
      </c>
      <c r="H189" s="166"/>
    </row>
    <row r="190" spans="1:8" ht="28.8" customHeight="1" x14ac:dyDescent="0.7">
      <c r="A190" s="179">
        <f t="shared" si="2"/>
        <v>185</v>
      </c>
      <c r="B190" s="165" t="s">
        <v>513</v>
      </c>
      <c r="C190" s="166" t="s">
        <v>514</v>
      </c>
      <c r="D190" s="167" t="s">
        <v>186</v>
      </c>
      <c r="E190" s="168"/>
      <c r="F190" s="166"/>
      <c r="G190" s="170"/>
      <c r="H190" s="166"/>
    </row>
    <row r="191" spans="1:8" ht="28.8" customHeight="1" x14ac:dyDescent="0.7">
      <c r="A191" s="179">
        <f t="shared" si="2"/>
        <v>186</v>
      </c>
      <c r="B191" s="165" t="s">
        <v>515</v>
      </c>
      <c r="C191" s="166" t="s">
        <v>516</v>
      </c>
      <c r="D191" s="167" t="s">
        <v>136</v>
      </c>
      <c r="E191" s="168"/>
      <c r="F191" s="166"/>
      <c r="G191" s="170"/>
      <c r="H191" s="166"/>
    </row>
    <row r="192" spans="1:8" ht="42.6" customHeight="1" x14ac:dyDescent="0.7">
      <c r="A192" s="179">
        <f t="shared" si="2"/>
        <v>187</v>
      </c>
      <c r="B192" s="325" t="s">
        <v>517</v>
      </c>
      <c r="C192" s="328" t="s">
        <v>518</v>
      </c>
      <c r="D192" s="328" t="s">
        <v>136</v>
      </c>
      <c r="E192" s="168" t="s">
        <v>519</v>
      </c>
      <c r="F192" s="166" t="s">
        <v>520</v>
      </c>
      <c r="G192" s="169">
        <v>45784.895208333335</v>
      </c>
      <c r="H192" s="166"/>
    </row>
    <row r="193" spans="1:8" ht="42.6" customHeight="1" x14ac:dyDescent="0.7">
      <c r="A193" s="179">
        <f t="shared" si="2"/>
        <v>188</v>
      </c>
      <c r="B193" s="327"/>
      <c r="C193" s="330"/>
      <c r="D193" s="330"/>
      <c r="E193" s="168" t="s">
        <v>521</v>
      </c>
      <c r="F193" s="166" t="s">
        <v>522</v>
      </c>
      <c r="G193" s="169">
        <v>45784.895208333335</v>
      </c>
      <c r="H193" s="166"/>
    </row>
    <row r="194" spans="1:8" ht="42.6" customHeight="1" x14ac:dyDescent="0.7">
      <c r="A194" s="179">
        <f t="shared" si="2"/>
        <v>189</v>
      </c>
      <c r="B194" s="165" t="s">
        <v>523</v>
      </c>
      <c r="C194" s="166" t="s">
        <v>524</v>
      </c>
      <c r="D194" s="167" t="s">
        <v>136</v>
      </c>
      <c r="E194" s="168" t="s">
        <v>523</v>
      </c>
      <c r="F194" s="166" t="s">
        <v>525</v>
      </c>
      <c r="G194" s="169">
        <v>45784.895208333335</v>
      </c>
      <c r="H194" s="166"/>
    </row>
    <row r="195" spans="1:8" ht="28.8" customHeight="1" x14ac:dyDescent="0.7">
      <c r="A195" s="179">
        <f t="shared" si="2"/>
        <v>190</v>
      </c>
      <c r="B195" s="165" t="s">
        <v>526</v>
      </c>
      <c r="C195" s="166" t="s">
        <v>527</v>
      </c>
      <c r="D195" s="167" t="s">
        <v>136</v>
      </c>
      <c r="E195" s="168" t="s">
        <v>526</v>
      </c>
      <c r="F195" s="166" t="s">
        <v>528</v>
      </c>
      <c r="G195" s="169">
        <v>45784.895208333335</v>
      </c>
      <c r="H195" s="166"/>
    </row>
    <row r="196" spans="1:8" ht="28.8" customHeight="1" x14ac:dyDescent="0.7">
      <c r="A196" s="179">
        <f t="shared" si="2"/>
        <v>191</v>
      </c>
      <c r="B196" s="165" t="s">
        <v>529</v>
      </c>
      <c r="C196" s="166" t="s">
        <v>530</v>
      </c>
      <c r="D196" s="167" t="s">
        <v>186</v>
      </c>
      <c r="E196" s="168"/>
      <c r="F196" s="166"/>
      <c r="G196" s="170"/>
      <c r="H196" s="166"/>
    </row>
    <row r="197" spans="1:8" ht="42.6" customHeight="1" x14ac:dyDescent="0.7">
      <c r="A197" s="179">
        <f t="shared" si="2"/>
        <v>192</v>
      </c>
      <c r="B197" s="325" t="s">
        <v>531</v>
      </c>
      <c r="C197" s="328" t="s">
        <v>532</v>
      </c>
      <c r="D197" s="328" t="s">
        <v>136</v>
      </c>
      <c r="E197" s="168" t="s">
        <v>533</v>
      </c>
      <c r="F197" s="166" t="s">
        <v>534</v>
      </c>
      <c r="G197" s="169">
        <v>45784.895208333335</v>
      </c>
      <c r="H197" s="166"/>
    </row>
    <row r="198" spans="1:8" ht="42.6" customHeight="1" x14ac:dyDescent="0.7">
      <c r="A198" s="179">
        <f t="shared" ref="A198:A261" si="3">ROW()-5</f>
        <v>193</v>
      </c>
      <c r="B198" s="327"/>
      <c r="C198" s="330"/>
      <c r="D198" s="330"/>
      <c r="E198" s="168" t="s">
        <v>535</v>
      </c>
      <c r="F198" s="166" t="s">
        <v>536</v>
      </c>
      <c r="G198" s="169">
        <v>45784.895208333335</v>
      </c>
      <c r="H198" s="166"/>
    </row>
    <row r="199" spans="1:8" ht="42.6" customHeight="1" x14ac:dyDescent="0.7">
      <c r="A199" s="179">
        <f t="shared" si="3"/>
        <v>194</v>
      </c>
      <c r="B199" s="165" t="s">
        <v>537</v>
      </c>
      <c r="C199" s="166" t="s">
        <v>538</v>
      </c>
      <c r="D199" s="167" t="s">
        <v>136</v>
      </c>
      <c r="E199" s="168" t="s">
        <v>537</v>
      </c>
      <c r="F199" s="166" t="s">
        <v>539</v>
      </c>
      <c r="G199" s="169">
        <v>45784.895208333335</v>
      </c>
      <c r="H199" s="166"/>
    </row>
    <row r="200" spans="1:8" ht="28.8" customHeight="1" x14ac:dyDescent="0.7">
      <c r="A200" s="179">
        <f t="shared" si="3"/>
        <v>195</v>
      </c>
      <c r="B200" s="165" t="s">
        <v>540</v>
      </c>
      <c r="C200" s="166" t="s">
        <v>541</v>
      </c>
      <c r="D200" s="167" t="s">
        <v>136</v>
      </c>
      <c r="E200" s="168" t="s">
        <v>540</v>
      </c>
      <c r="F200" s="166" t="s">
        <v>542</v>
      </c>
      <c r="G200" s="169">
        <v>45784.895208333335</v>
      </c>
      <c r="H200" s="166"/>
    </row>
    <row r="201" spans="1:8" ht="42.6" customHeight="1" x14ac:dyDescent="0.7">
      <c r="A201" s="179">
        <f t="shared" si="3"/>
        <v>196</v>
      </c>
      <c r="B201" s="325" t="s">
        <v>543</v>
      </c>
      <c r="C201" s="328" t="s">
        <v>544</v>
      </c>
      <c r="D201" s="328" t="s">
        <v>136</v>
      </c>
      <c r="E201" s="168" t="s">
        <v>545</v>
      </c>
      <c r="F201" s="166" t="s">
        <v>546</v>
      </c>
      <c r="G201" s="169">
        <v>45784.895208333335</v>
      </c>
      <c r="H201" s="166"/>
    </row>
    <row r="202" spans="1:8" ht="42.6" customHeight="1" x14ac:dyDescent="0.7">
      <c r="A202" s="179">
        <f t="shared" si="3"/>
        <v>197</v>
      </c>
      <c r="B202" s="327"/>
      <c r="C202" s="330"/>
      <c r="D202" s="330"/>
      <c r="E202" s="168" t="s">
        <v>547</v>
      </c>
      <c r="F202" s="166" t="s">
        <v>548</v>
      </c>
      <c r="G202" s="169">
        <v>45784.895208333335</v>
      </c>
      <c r="H202" s="166"/>
    </row>
    <row r="203" spans="1:8" ht="28.8" customHeight="1" x14ac:dyDescent="0.7">
      <c r="A203" s="179">
        <f t="shared" si="3"/>
        <v>198</v>
      </c>
      <c r="B203" s="165" t="s">
        <v>549</v>
      </c>
      <c r="C203" s="166" t="s">
        <v>550</v>
      </c>
      <c r="D203" s="167" t="s">
        <v>136</v>
      </c>
      <c r="E203" s="168" t="s">
        <v>549</v>
      </c>
      <c r="F203" s="166" t="s">
        <v>551</v>
      </c>
      <c r="G203" s="169">
        <v>45784.895208333335</v>
      </c>
      <c r="H203" s="166"/>
    </row>
    <row r="204" spans="1:8" ht="70.2" customHeight="1" x14ac:dyDescent="0.7">
      <c r="A204" s="179">
        <f t="shared" si="3"/>
        <v>199</v>
      </c>
      <c r="B204" s="325" t="s">
        <v>552</v>
      </c>
      <c r="C204" s="328" t="s">
        <v>553</v>
      </c>
      <c r="D204" s="328" t="s">
        <v>136</v>
      </c>
      <c r="E204" s="168" t="s">
        <v>554</v>
      </c>
      <c r="F204" s="166" t="s">
        <v>555</v>
      </c>
      <c r="G204" s="169">
        <v>45784.895208333335</v>
      </c>
      <c r="H204" s="166"/>
    </row>
    <row r="205" spans="1:8" ht="56.4" customHeight="1" x14ac:dyDescent="0.7">
      <c r="A205" s="179">
        <f t="shared" si="3"/>
        <v>200</v>
      </c>
      <c r="B205" s="326"/>
      <c r="C205" s="329"/>
      <c r="D205" s="329"/>
      <c r="E205" s="168" t="s">
        <v>556</v>
      </c>
      <c r="F205" s="166" t="s">
        <v>557</v>
      </c>
      <c r="G205" s="169">
        <v>45784.895208333335</v>
      </c>
      <c r="H205" s="166"/>
    </row>
    <row r="206" spans="1:8" ht="56.4" customHeight="1" x14ac:dyDescent="0.7">
      <c r="A206" s="179">
        <f t="shared" si="3"/>
        <v>201</v>
      </c>
      <c r="B206" s="326"/>
      <c r="C206" s="329"/>
      <c r="D206" s="329"/>
      <c r="E206" s="168" t="s">
        <v>558</v>
      </c>
      <c r="F206" s="166" t="s">
        <v>559</v>
      </c>
      <c r="G206" s="169">
        <v>45784.895208333335</v>
      </c>
      <c r="H206" s="166"/>
    </row>
    <row r="207" spans="1:8" ht="42.6" customHeight="1" x14ac:dyDescent="0.7">
      <c r="A207" s="179">
        <f t="shared" si="3"/>
        <v>202</v>
      </c>
      <c r="B207" s="326"/>
      <c r="C207" s="329"/>
      <c r="D207" s="329"/>
      <c r="E207" s="168" t="s">
        <v>560</v>
      </c>
      <c r="F207" s="166" t="s">
        <v>561</v>
      </c>
      <c r="G207" s="169">
        <v>45784.895208333335</v>
      </c>
      <c r="H207" s="166"/>
    </row>
    <row r="208" spans="1:8" ht="42.6" customHeight="1" x14ac:dyDescent="0.7">
      <c r="A208" s="179">
        <f t="shared" si="3"/>
        <v>203</v>
      </c>
      <c r="B208" s="327"/>
      <c r="C208" s="330"/>
      <c r="D208" s="330"/>
      <c r="E208" s="168" t="s">
        <v>562</v>
      </c>
      <c r="F208" s="166" t="s">
        <v>563</v>
      </c>
      <c r="G208" s="169">
        <v>45784.895208333335</v>
      </c>
      <c r="H208" s="166"/>
    </row>
    <row r="209" spans="1:8" ht="42.6" customHeight="1" x14ac:dyDescent="0.7">
      <c r="A209" s="179">
        <f t="shared" si="3"/>
        <v>204</v>
      </c>
      <c r="B209" s="325" t="s">
        <v>564</v>
      </c>
      <c r="C209" s="328" t="s">
        <v>565</v>
      </c>
      <c r="D209" s="328" t="s">
        <v>136</v>
      </c>
      <c r="E209" s="168" t="s">
        <v>566</v>
      </c>
      <c r="F209" s="166" t="s">
        <v>567</v>
      </c>
      <c r="G209" s="169">
        <v>45784.895208333335</v>
      </c>
      <c r="H209" s="166"/>
    </row>
    <row r="210" spans="1:8" ht="56.4" customHeight="1" x14ac:dyDescent="0.7">
      <c r="A210" s="179">
        <f t="shared" si="3"/>
        <v>205</v>
      </c>
      <c r="B210" s="327"/>
      <c r="C210" s="330"/>
      <c r="D210" s="330"/>
      <c r="E210" s="168" t="s">
        <v>568</v>
      </c>
      <c r="F210" s="166" t="s">
        <v>557</v>
      </c>
      <c r="G210" s="169">
        <v>45784.895208333335</v>
      </c>
      <c r="H210" s="166"/>
    </row>
    <row r="211" spans="1:8" ht="28.8" customHeight="1" x14ac:dyDescent="0.7">
      <c r="A211" s="179">
        <f t="shared" si="3"/>
        <v>206</v>
      </c>
      <c r="B211" s="165" t="s">
        <v>569</v>
      </c>
      <c r="C211" s="166" t="s">
        <v>570</v>
      </c>
      <c r="D211" s="167" t="s">
        <v>186</v>
      </c>
      <c r="E211" s="168"/>
      <c r="F211" s="166"/>
      <c r="G211" s="170"/>
      <c r="H211" s="166"/>
    </row>
    <row r="212" spans="1:8" ht="42.6" customHeight="1" x14ac:dyDescent="0.7">
      <c r="A212" s="179">
        <f t="shared" si="3"/>
        <v>207</v>
      </c>
      <c r="B212" s="325" t="s">
        <v>571</v>
      </c>
      <c r="C212" s="328" t="s">
        <v>572</v>
      </c>
      <c r="D212" s="328" t="s">
        <v>136</v>
      </c>
      <c r="E212" s="168" t="s">
        <v>573</v>
      </c>
      <c r="F212" s="166" t="s">
        <v>574</v>
      </c>
      <c r="G212" s="169">
        <v>45784.895208333335</v>
      </c>
      <c r="H212" s="166"/>
    </row>
    <row r="213" spans="1:8" ht="42.6" customHeight="1" x14ac:dyDescent="0.7">
      <c r="A213" s="179">
        <f t="shared" si="3"/>
        <v>208</v>
      </c>
      <c r="B213" s="326"/>
      <c r="C213" s="329"/>
      <c r="D213" s="329"/>
      <c r="E213" s="168" t="s">
        <v>575</v>
      </c>
      <c r="F213" s="166" t="s">
        <v>576</v>
      </c>
      <c r="G213" s="169">
        <v>45784.895208333335</v>
      </c>
      <c r="H213" s="166"/>
    </row>
    <row r="214" spans="1:8" ht="28.8" customHeight="1" x14ac:dyDescent="0.7">
      <c r="A214" s="179">
        <f t="shared" si="3"/>
        <v>209</v>
      </c>
      <c r="B214" s="327"/>
      <c r="C214" s="330"/>
      <c r="D214" s="330"/>
      <c r="E214" s="168" t="s">
        <v>577</v>
      </c>
      <c r="F214" s="166" t="s">
        <v>578</v>
      </c>
      <c r="G214" s="169">
        <v>45784.895208333335</v>
      </c>
      <c r="H214" s="166"/>
    </row>
    <row r="215" spans="1:8" ht="28.8" customHeight="1" x14ac:dyDescent="0.7">
      <c r="A215" s="179">
        <f t="shared" si="3"/>
        <v>210</v>
      </c>
      <c r="B215" s="325" t="s">
        <v>579</v>
      </c>
      <c r="C215" s="328" t="s">
        <v>580</v>
      </c>
      <c r="D215" s="328" t="s">
        <v>136</v>
      </c>
      <c r="E215" s="168" t="s">
        <v>581</v>
      </c>
      <c r="F215" s="166" t="s">
        <v>582</v>
      </c>
      <c r="G215" s="169">
        <v>45784.895208333335</v>
      </c>
      <c r="H215" s="166"/>
    </row>
    <row r="216" spans="1:8" ht="42.6" customHeight="1" x14ac:dyDescent="0.7">
      <c r="A216" s="179">
        <f t="shared" si="3"/>
        <v>211</v>
      </c>
      <c r="B216" s="326"/>
      <c r="C216" s="329"/>
      <c r="D216" s="329"/>
      <c r="E216" s="168" t="s">
        <v>583</v>
      </c>
      <c r="F216" s="166" t="s">
        <v>584</v>
      </c>
      <c r="G216" s="169">
        <v>45784.895208333335</v>
      </c>
      <c r="H216" s="166"/>
    </row>
    <row r="217" spans="1:8" ht="28.8" customHeight="1" x14ac:dyDescent="0.7">
      <c r="A217" s="179">
        <f t="shared" si="3"/>
        <v>212</v>
      </c>
      <c r="B217" s="326"/>
      <c r="C217" s="329"/>
      <c r="D217" s="329"/>
      <c r="E217" s="168" t="s">
        <v>585</v>
      </c>
      <c r="F217" s="166" t="s">
        <v>586</v>
      </c>
      <c r="G217" s="169">
        <v>45784.895208333335</v>
      </c>
      <c r="H217" s="166"/>
    </row>
    <row r="218" spans="1:8" ht="28.8" customHeight="1" x14ac:dyDescent="0.7">
      <c r="A218" s="179">
        <f t="shared" si="3"/>
        <v>213</v>
      </c>
      <c r="B218" s="326"/>
      <c r="C218" s="329"/>
      <c r="D218" s="329"/>
      <c r="E218" s="168" t="s">
        <v>587</v>
      </c>
      <c r="F218" s="166" t="s">
        <v>588</v>
      </c>
      <c r="G218" s="169">
        <v>45784.895208333335</v>
      </c>
      <c r="H218" s="166"/>
    </row>
    <row r="219" spans="1:8" ht="28.8" customHeight="1" x14ac:dyDescent="0.7">
      <c r="A219" s="179">
        <f t="shared" si="3"/>
        <v>214</v>
      </c>
      <c r="B219" s="327"/>
      <c r="C219" s="330"/>
      <c r="D219" s="330"/>
      <c r="E219" s="168" t="s">
        <v>589</v>
      </c>
      <c r="F219" s="166" t="s">
        <v>590</v>
      </c>
      <c r="G219" s="169">
        <v>45784.895208333335</v>
      </c>
      <c r="H219" s="166"/>
    </row>
    <row r="220" spans="1:8" ht="42.6" customHeight="1" x14ac:dyDescent="0.7">
      <c r="A220" s="179">
        <f t="shared" si="3"/>
        <v>215</v>
      </c>
      <c r="B220" s="325" t="s">
        <v>591</v>
      </c>
      <c r="C220" s="328" t="s">
        <v>592</v>
      </c>
      <c r="D220" s="328" t="s">
        <v>136</v>
      </c>
      <c r="E220" s="168" t="s">
        <v>593</v>
      </c>
      <c r="F220" s="166" t="s">
        <v>594</v>
      </c>
      <c r="G220" s="169">
        <v>45784.895208333335</v>
      </c>
      <c r="H220" s="166"/>
    </row>
    <row r="221" spans="1:8" ht="56.4" customHeight="1" x14ac:dyDescent="0.7">
      <c r="A221" s="179">
        <f t="shared" si="3"/>
        <v>216</v>
      </c>
      <c r="B221" s="327"/>
      <c r="C221" s="330"/>
      <c r="D221" s="330"/>
      <c r="E221" s="168" t="s">
        <v>595</v>
      </c>
      <c r="F221" s="166" t="s">
        <v>596</v>
      </c>
      <c r="G221" s="169">
        <v>45784.895208333335</v>
      </c>
      <c r="H221" s="166"/>
    </row>
    <row r="222" spans="1:8" ht="42.6" customHeight="1" x14ac:dyDescent="0.7">
      <c r="A222" s="179">
        <f t="shared" si="3"/>
        <v>217</v>
      </c>
      <c r="B222" s="165" t="s">
        <v>597</v>
      </c>
      <c r="C222" s="166" t="s">
        <v>592</v>
      </c>
      <c r="D222" s="167" t="s">
        <v>136</v>
      </c>
      <c r="E222" s="168" t="s">
        <v>598</v>
      </c>
      <c r="F222" s="166" t="s">
        <v>599</v>
      </c>
      <c r="G222" s="169">
        <v>45784.895208333335</v>
      </c>
      <c r="H222" s="166"/>
    </row>
    <row r="223" spans="1:8" ht="42.6" customHeight="1" x14ac:dyDescent="0.7">
      <c r="A223" s="179">
        <f t="shared" si="3"/>
        <v>218</v>
      </c>
      <c r="B223" s="165" t="s">
        <v>600</v>
      </c>
      <c r="C223" s="166" t="s">
        <v>592</v>
      </c>
      <c r="D223" s="167" t="s">
        <v>136</v>
      </c>
      <c r="E223" s="168" t="s">
        <v>601</v>
      </c>
      <c r="F223" s="166" t="s">
        <v>602</v>
      </c>
      <c r="G223" s="169">
        <v>45784.895208333335</v>
      </c>
      <c r="H223" s="166"/>
    </row>
    <row r="224" spans="1:8" ht="42.6" customHeight="1" x14ac:dyDescent="0.7">
      <c r="A224" s="179">
        <f t="shared" si="3"/>
        <v>219</v>
      </c>
      <c r="B224" s="165" t="s">
        <v>603</v>
      </c>
      <c r="C224" s="166" t="s">
        <v>592</v>
      </c>
      <c r="D224" s="167" t="s">
        <v>136</v>
      </c>
      <c r="E224" s="168" t="s">
        <v>604</v>
      </c>
      <c r="F224" s="166" t="s">
        <v>605</v>
      </c>
      <c r="G224" s="169">
        <v>45784.895208333335</v>
      </c>
      <c r="H224" s="166"/>
    </row>
    <row r="225" spans="1:8" ht="56.4" customHeight="1" x14ac:dyDescent="0.7">
      <c r="A225" s="179">
        <f t="shared" si="3"/>
        <v>220</v>
      </c>
      <c r="B225" s="325" t="s">
        <v>597</v>
      </c>
      <c r="C225" s="328" t="s">
        <v>606</v>
      </c>
      <c r="D225" s="328" t="s">
        <v>136</v>
      </c>
      <c r="E225" s="168" t="s">
        <v>607</v>
      </c>
      <c r="F225" s="166" t="s">
        <v>608</v>
      </c>
      <c r="G225" s="169">
        <v>45784.895208333335</v>
      </c>
      <c r="H225" s="166"/>
    </row>
    <row r="226" spans="1:8" ht="42.6" customHeight="1" x14ac:dyDescent="0.7">
      <c r="A226" s="179">
        <f t="shared" si="3"/>
        <v>221</v>
      </c>
      <c r="B226" s="327"/>
      <c r="C226" s="330"/>
      <c r="D226" s="330"/>
      <c r="E226" s="168" t="s">
        <v>609</v>
      </c>
      <c r="F226" s="166" t="s">
        <v>610</v>
      </c>
      <c r="G226" s="169">
        <v>45784.895208333335</v>
      </c>
      <c r="H226" s="166"/>
    </row>
    <row r="227" spans="1:8" ht="42.6" customHeight="1" x14ac:dyDescent="0.7">
      <c r="A227" s="179">
        <f t="shared" si="3"/>
        <v>222</v>
      </c>
      <c r="B227" s="325" t="s">
        <v>600</v>
      </c>
      <c r="C227" s="328" t="s">
        <v>611</v>
      </c>
      <c r="D227" s="328" t="s">
        <v>136</v>
      </c>
      <c r="E227" s="168" t="s">
        <v>612</v>
      </c>
      <c r="F227" s="166" t="s">
        <v>613</v>
      </c>
      <c r="G227" s="169">
        <v>45784.895208333335</v>
      </c>
      <c r="H227" s="166"/>
    </row>
    <row r="228" spans="1:8" ht="42.6" customHeight="1" x14ac:dyDescent="0.7">
      <c r="A228" s="179">
        <f t="shared" si="3"/>
        <v>223</v>
      </c>
      <c r="B228" s="326"/>
      <c r="C228" s="329"/>
      <c r="D228" s="329"/>
      <c r="E228" s="168" t="s">
        <v>614</v>
      </c>
      <c r="F228" s="166" t="s">
        <v>615</v>
      </c>
      <c r="G228" s="169">
        <v>45784.895208333335</v>
      </c>
      <c r="H228" s="166"/>
    </row>
    <row r="229" spans="1:8" ht="42.6" customHeight="1" x14ac:dyDescent="0.7">
      <c r="A229" s="179">
        <f t="shared" si="3"/>
        <v>224</v>
      </c>
      <c r="B229" s="326"/>
      <c r="C229" s="329"/>
      <c r="D229" s="329"/>
      <c r="E229" s="168" t="s">
        <v>616</v>
      </c>
      <c r="F229" s="166" t="s">
        <v>617</v>
      </c>
      <c r="G229" s="169">
        <v>45784.895208333335</v>
      </c>
      <c r="H229" s="166"/>
    </row>
    <row r="230" spans="1:8" ht="42.6" customHeight="1" x14ac:dyDescent="0.7">
      <c r="A230" s="179">
        <f t="shared" si="3"/>
        <v>225</v>
      </c>
      <c r="B230" s="326"/>
      <c r="C230" s="329"/>
      <c r="D230" s="329"/>
      <c r="E230" s="168" t="s">
        <v>618</v>
      </c>
      <c r="F230" s="166" t="s">
        <v>619</v>
      </c>
      <c r="G230" s="169">
        <v>45784.895208333335</v>
      </c>
      <c r="H230" s="166"/>
    </row>
    <row r="231" spans="1:8" ht="42.6" customHeight="1" x14ac:dyDescent="0.7">
      <c r="A231" s="179">
        <f t="shared" si="3"/>
        <v>226</v>
      </c>
      <c r="B231" s="326"/>
      <c r="C231" s="329"/>
      <c r="D231" s="329"/>
      <c r="E231" s="168" t="s">
        <v>620</v>
      </c>
      <c r="F231" s="166" t="s">
        <v>599</v>
      </c>
      <c r="G231" s="169">
        <v>45784.895208333335</v>
      </c>
      <c r="H231" s="166"/>
    </row>
    <row r="232" spans="1:8" ht="42.6" customHeight="1" x14ac:dyDescent="0.7">
      <c r="A232" s="179">
        <f t="shared" si="3"/>
        <v>227</v>
      </c>
      <c r="B232" s="327"/>
      <c r="C232" s="330"/>
      <c r="D232" s="330"/>
      <c r="E232" s="168" t="s">
        <v>621</v>
      </c>
      <c r="F232" s="166" t="s">
        <v>602</v>
      </c>
      <c r="G232" s="169">
        <v>45784.895208333335</v>
      </c>
      <c r="H232" s="166"/>
    </row>
    <row r="233" spans="1:8" ht="70.2" customHeight="1" x14ac:dyDescent="0.7">
      <c r="A233" s="179">
        <f t="shared" si="3"/>
        <v>228</v>
      </c>
      <c r="B233" s="165" t="s">
        <v>603</v>
      </c>
      <c r="C233" s="166" t="s">
        <v>622</v>
      </c>
      <c r="D233" s="167" t="s">
        <v>136</v>
      </c>
      <c r="E233" s="168" t="s">
        <v>603</v>
      </c>
      <c r="F233" s="166" t="s">
        <v>623</v>
      </c>
      <c r="G233" s="169">
        <v>45784.895208333335</v>
      </c>
      <c r="H233" s="166"/>
    </row>
    <row r="234" spans="1:8" ht="28.8" customHeight="1" x14ac:dyDescent="0.7">
      <c r="A234" s="179">
        <f t="shared" si="3"/>
        <v>229</v>
      </c>
      <c r="B234" s="165" t="s">
        <v>624</v>
      </c>
      <c r="C234" s="166" t="s">
        <v>625</v>
      </c>
      <c r="D234" s="167" t="s">
        <v>136</v>
      </c>
      <c r="E234" s="168"/>
      <c r="F234" s="166"/>
      <c r="G234" s="170"/>
      <c r="H234" s="166"/>
    </row>
    <row r="235" spans="1:8" ht="42.6" customHeight="1" x14ac:dyDescent="0.7">
      <c r="A235" s="179">
        <f t="shared" si="3"/>
        <v>230</v>
      </c>
      <c r="B235" s="165" t="s">
        <v>626</v>
      </c>
      <c r="C235" s="166" t="s">
        <v>627</v>
      </c>
      <c r="D235" s="167" t="s">
        <v>136</v>
      </c>
      <c r="E235" s="168" t="s">
        <v>628</v>
      </c>
      <c r="F235" s="166" t="s">
        <v>629</v>
      </c>
      <c r="G235" s="169">
        <v>45784.895208333335</v>
      </c>
      <c r="H235" s="166"/>
    </row>
    <row r="236" spans="1:8" ht="42.6" customHeight="1" x14ac:dyDescent="0.7">
      <c r="A236" s="179">
        <f t="shared" si="3"/>
        <v>231</v>
      </c>
      <c r="B236" s="165" t="s">
        <v>630</v>
      </c>
      <c r="C236" s="166" t="s">
        <v>631</v>
      </c>
      <c r="D236" s="167" t="s">
        <v>136</v>
      </c>
      <c r="E236" s="168" t="s">
        <v>630</v>
      </c>
      <c r="F236" s="166" t="s">
        <v>632</v>
      </c>
      <c r="G236" s="169">
        <v>45784.895208333335</v>
      </c>
      <c r="H236" s="166"/>
    </row>
    <row r="237" spans="1:8" ht="28.8" customHeight="1" x14ac:dyDescent="0.7">
      <c r="A237" s="179">
        <f t="shared" si="3"/>
        <v>232</v>
      </c>
      <c r="B237" s="165" t="s">
        <v>633</v>
      </c>
      <c r="C237" s="166" t="s">
        <v>634</v>
      </c>
      <c r="D237" s="167" t="s">
        <v>136</v>
      </c>
      <c r="E237" s="168"/>
      <c r="F237" s="166"/>
      <c r="G237" s="170"/>
      <c r="H237" s="166"/>
    </row>
    <row r="238" spans="1:8" ht="42.6" customHeight="1" x14ac:dyDescent="0.7">
      <c r="A238" s="179">
        <f t="shared" si="3"/>
        <v>233</v>
      </c>
      <c r="B238" s="165" t="s">
        <v>635</v>
      </c>
      <c r="C238" s="166" t="s">
        <v>636</v>
      </c>
      <c r="D238" s="167" t="s">
        <v>186</v>
      </c>
      <c r="E238" s="168"/>
      <c r="F238" s="166"/>
      <c r="G238" s="170"/>
      <c r="H238" s="166"/>
    </row>
    <row r="239" spans="1:8" ht="42.6" customHeight="1" x14ac:dyDescent="0.7">
      <c r="A239" s="179">
        <f t="shared" si="3"/>
        <v>234</v>
      </c>
      <c r="B239" s="165" t="s">
        <v>637</v>
      </c>
      <c r="C239" s="166" t="s">
        <v>638</v>
      </c>
      <c r="D239" s="167" t="s">
        <v>136</v>
      </c>
      <c r="E239" s="168"/>
      <c r="F239" s="166"/>
      <c r="G239" s="170"/>
      <c r="H239" s="166"/>
    </row>
    <row r="240" spans="1:8" ht="42.6" customHeight="1" x14ac:dyDescent="0.7">
      <c r="A240" s="179">
        <f t="shared" si="3"/>
        <v>235</v>
      </c>
      <c r="B240" s="325" t="s">
        <v>639</v>
      </c>
      <c r="C240" s="328" t="s">
        <v>640</v>
      </c>
      <c r="D240" s="328" t="s">
        <v>136</v>
      </c>
      <c r="E240" s="168" t="s">
        <v>641</v>
      </c>
      <c r="F240" s="166" t="s">
        <v>642</v>
      </c>
      <c r="G240" s="169">
        <v>45784.895208333335</v>
      </c>
      <c r="H240" s="166"/>
    </row>
    <row r="241" spans="1:8" ht="42.6" customHeight="1" x14ac:dyDescent="0.7">
      <c r="A241" s="179">
        <f t="shared" si="3"/>
        <v>236</v>
      </c>
      <c r="B241" s="326"/>
      <c r="C241" s="329"/>
      <c r="D241" s="329"/>
      <c r="E241" s="168" t="s">
        <v>643</v>
      </c>
      <c r="F241" s="166" t="s">
        <v>644</v>
      </c>
      <c r="G241" s="169">
        <v>45784.895208333335</v>
      </c>
      <c r="H241" s="166"/>
    </row>
    <row r="242" spans="1:8" ht="42.6" customHeight="1" x14ac:dyDescent="0.7">
      <c r="A242" s="179">
        <f t="shared" si="3"/>
        <v>237</v>
      </c>
      <c r="B242" s="327"/>
      <c r="C242" s="330"/>
      <c r="D242" s="330"/>
      <c r="E242" s="168" t="s">
        <v>645</v>
      </c>
      <c r="F242" s="166" t="s">
        <v>646</v>
      </c>
      <c r="G242" s="169">
        <v>45784.895208333335</v>
      </c>
      <c r="H242" s="166"/>
    </row>
    <row r="243" spans="1:8" ht="42.6" customHeight="1" x14ac:dyDescent="0.7">
      <c r="A243" s="179">
        <f t="shared" si="3"/>
        <v>238</v>
      </c>
      <c r="B243" s="165" t="s">
        <v>647</v>
      </c>
      <c r="C243" s="166" t="s">
        <v>648</v>
      </c>
      <c r="D243" s="167" t="s">
        <v>136</v>
      </c>
      <c r="E243" s="168" t="s">
        <v>647</v>
      </c>
      <c r="F243" s="166" t="s">
        <v>649</v>
      </c>
      <c r="G243" s="169">
        <v>45784.895208333335</v>
      </c>
      <c r="H243" s="166"/>
    </row>
    <row r="244" spans="1:8" ht="42.6" customHeight="1" x14ac:dyDescent="0.7">
      <c r="A244" s="179">
        <f t="shared" si="3"/>
        <v>239</v>
      </c>
      <c r="B244" s="165" t="s">
        <v>650</v>
      </c>
      <c r="C244" s="166" t="s">
        <v>651</v>
      </c>
      <c r="D244" s="167" t="s">
        <v>136</v>
      </c>
      <c r="E244" s="168" t="s">
        <v>650</v>
      </c>
      <c r="F244" s="166" t="s">
        <v>652</v>
      </c>
      <c r="G244" s="169">
        <v>45784.895208333335</v>
      </c>
      <c r="H244" s="166"/>
    </row>
    <row r="245" spans="1:8" ht="42.6" customHeight="1" x14ac:dyDescent="0.7">
      <c r="A245" s="179">
        <f t="shared" si="3"/>
        <v>240</v>
      </c>
      <c r="B245" s="165" t="s">
        <v>653</v>
      </c>
      <c r="C245" s="166" t="s">
        <v>654</v>
      </c>
      <c r="D245" s="167" t="s">
        <v>136</v>
      </c>
      <c r="E245" s="168" t="s">
        <v>653</v>
      </c>
      <c r="F245" s="166" t="s">
        <v>655</v>
      </c>
      <c r="G245" s="169">
        <v>45784.895208333335</v>
      </c>
      <c r="H245" s="166"/>
    </row>
    <row r="246" spans="1:8" ht="56.4" customHeight="1" x14ac:dyDescent="0.7">
      <c r="A246" s="179">
        <f t="shared" si="3"/>
        <v>241</v>
      </c>
      <c r="B246" s="325" t="s">
        <v>656</v>
      </c>
      <c r="C246" s="328" t="s">
        <v>657</v>
      </c>
      <c r="D246" s="328" t="s">
        <v>136</v>
      </c>
      <c r="E246" s="168" t="s">
        <v>658</v>
      </c>
      <c r="F246" s="166" t="s">
        <v>659</v>
      </c>
      <c r="G246" s="169">
        <v>45784.895208333335</v>
      </c>
      <c r="H246" s="166"/>
    </row>
    <row r="247" spans="1:8" ht="56.4" customHeight="1" x14ac:dyDescent="0.7">
      <c r="A247" s="179">
        <f t="shared" si="3"/>
        <v>242</v>
      </c>
      <c r="B247" s="326"/>
      <c r="C247" s="329"/>
      <c r="D247" s="329"/>
      <c r="E247" s="168" t="s">
        <v>660</v>
      </c>
      <c r="F247" s="166" t="s">
        <v>661</v>
      </c>
      <c r="G247" s="169">
        <v>45784.895208333335</v>
      </c>
      <c r="H247" s="166"/>
    </row>
    <row r="248" spans="1:8" ht="56.4" customHeight="1" x14ac:dyDescent="0.7">
      <c r="A248" s="179">
        <f t="shared" si="3"/>
        <v>243</v>
      </c>
      <c r="B248" s="326"/>
      <c r="C248" s="329"/>
      <c r="D248" s="329"/>
      <c r="E248" s="168" t="s">
        <v>662</v>
      </c>
      <c r="F248" s="166" t="s">
        <v>663</v>
      </c>
      <c r="G248" s="169">
        <v>45784.895208333335</v>
      </c>
      <c r="H248" s="166"/>
    </row>
    <row r="249" spans="1:8" ht="56.4" customHeight="1" x14ac:dyDescent="0.7">
      <c r="A249" s="179">
        <f t="shared" si="3"/>
        <v>244</v>
      </c>
      <c r="B249" s="326"/>
      <c r="C249" s="329"/>
      <c r="D249" s="329"/>
      <c r="E249" s="168" t="s">
        <v>664</v>
      </c>
      <c r="F249" s="166" t="s">
        <v>665</v>
      </c>
      <c r="G249" s="169">
        <v>45784.895208333335</v>
      </c>
      <c r="H249" s="166"/>
    </row>
    <row r="250" spans="1:8" ht="56.4" customHeight="1" x14ac:dyDescent="0.7">
      <c r="A250" s="179">
        <f t="shared" si="3"/>
        <v>245</v>
      </c>
      <c r="B250" s="326"/>
      <c r="C250" s="329"/>
      <c r="D250" s="329"/>
      <c r="E250" s="168" t="s">
        <v>666</v>
      </c>
      <c r="F250" s="166" t="s">
        <v>667</v>
      </c>
      <c r="G250" s="169">
        <v>45784.895208333335</v>
      </c>
      <c r="H250" s="166"/>
    </row>
    <row r="251" spans="1:8" ht="56.4" customHeight="1" x14ac:dyDescent="0.7">
      <c r="A251" s="179">
        <f t="shared" si="3"/>
        <v>246</v>
      </c>
      <c r="B251" s="326"/>
      <c r="C251" s="329"/>
      <c r="D251" s="329"/>
      <c r="E251" s="168" t="s">
        <v>668</v>
      </c>
      <c r="F251" s="166" t="s">
        <v>669</v>
      </c>
      <c r="G251" s="169">
        <v>45784.895208333335</v>
      </c>
      <c r="H251" s="166"/>
    </row>
    <row r="252" spans="1:8" ht="56.4" customHeight="1" x14ac:dyDescent="0.7">
      <c r="A252" s="179">
        <f t="shared" si="3"/>
        <v>247</v>
      </c>
      <c r="B252" s="326"/>
      <c r="C252" s="329"/>
      <c r="D252" s="329"/>
      <c r="E252" s="168" t="s">
        <v>670</v>
      </c>
      <c r="F252" s="166" t="s">
        <v>671</v>
      </c>
      <c r="G252" s="169">
        <v>45784.895208333335</v>
      </c>
      <c r="H252" s="166"/>
    </row>
    <row r="253" spans="1:8" ht="56.4" customHeight="1" x14ac:dyDescent="0.7">
      <c r="A253" s="179">
        <f t="shared" si="3"/>
        <v>248</v>
      </c>
      <c r="B253" s="326"/>
      <c r="C253" s="329"/>
      <c r="D253" s="329"/>
      <c r="E253" s="168" t="s">
        <v>672</v>
      </c>
      <c r="F253" s="166" t="s">
        <v>673</v>
      </c>
      <c r="G253" s="169">
        <v>45784.895208333335</v>
      </c>
      <c r="H253" s="166"/>
    </row>
    <row r="254" spans="1:8" ht="56.4" customHeight="1" x14ac:dyDescent="0.7">
      <c r="A254" s="179">
        <f t="shared" si="3"/>
        <v>249</v>
      </c>
      <c r="B254" s="326"/>
      <c r="C254" s="329"/>
      <c r="D254" s="329"/>
      <c r="E254" s="168" t="s">
        <v>674</v>
      </c>
      <c r="F254" s="166" t="s">
        <v>675</v>
      </c>
      <c r="G254" s="169">
        <v>45784.895208333335</v>
      </c>
      <c r="H254" s="166"/>
    </row>
    <row r="255" spans="1:8" ht="56.4" customHeight="1" x14ac:dyDescent="0.7">
      <c r="A255" s="179">
        <f t="shared" si="3"/>
        <v>250</v>
      </c>
      <c r="B255" s="326"/>
      <c r="C255" s="329"/>
      <c r="D255" s="329"/>
      <c r="E255" s="168" t="s">
        <v>676</v>
      </c>
      <c r="F255" s="166" t="s">
        <v>677</v>
      </c>
      <c r="G255" s="169">
        <v>45784.895208333335</v>
      </c>
      <c r="H255" s="166"/>
    </row>
    <row r="256" spans="1:8" ht="56.4" customHeight="1" x14ac:dyDescent="0.7">
      <c r="A256" s="179">
        <f t="shared" si="3"/>
        <v>251</v>
      </c>
      <c r="B256" s="326"/>
      <c r="C256" s="329"/>
      <c r="D256" s="329"/>
      <c r="E256" s="168" t="s">
        <v>678</v>
      </c>
      <c r="F256" s="166" t="s">
        <v>679</v>
      </c>
      <c r="G256" s="169">
        <v>45784.895208333335</v>
      </c>
      <c r="H256" s="166"/>
    </row>
    <row r="257" spans="1:8" ht="56.4" customHeight="1" x14ac:dyDescent="0.7">
      <c r="A257" s="179">
        <f t="shared" si="3"/>
        <v>252</v>
      </c>
      <c r="B257" s="326"/>
      <c r="C257" s="329"/>
      <c r="D257" s="329"/>
      <c r="E257" s="168" t="s">
        <v>680</v>
      </c>
      <c r="F257" s="166" t="s">
        <v>681</v>
      </c>
      <c r="G257" s="169">
        <v>45784.895208333335</v>
      </c>
      <c r="H257" s="166"/>
    </row>
    <row r="258" spans="1:8" ht="56.4" customHeight="1" x14ac:dyDescent="0.7">
      <c r="A258" s="179">
        <f t="shared" si="3"/>
        <v>253</v>
      </c>
      <c r="B258" s="327"/>
      <c r="C258" s="330"/>
      <c r="D258" s="330"/>
      <c r="E258" s="168" t="s">
        <v>682</v>
      </c>
      <c r="F258" s="166" t="s">
        <v>683</v>
      </c>
      <c r="G258" s="169">
        <v>45784.895208333335</v>
      </c>
      <c r="H258" s="166"/>
    </row>
    <row r="259" spans="1:8" ht="56.4" customHeight="1" x14ac:dyDescent="0.7">
      <c r="A259" s="179">
        <f t="shared" si="3"/>
        <v>254</v>
      </c>
      <c r="B259" s="165" t="s">
        <v>684</v>
      </c>
      <c r="C259" s="166" t="s">
        <v>685</v>
      </c>
      <c r="D259" s="167" t="s">
        <v>136</v>
      </c>
      <c r="E259" s="168" t="s">
        <v>684</v>
      </c>
      <c r="F259" s="166" t="s">
        <v>686</v>
      </c>
      <c r="G259" s="169">
        <v>45784.895208333335</v>
      </c>
      <c r="H259" s="166"/>
    </row>
    <row r="260" spans="1:8" ht="42.6" customHeight="1" x14ac:dyDescent="0.7">
      <c r="A260" s="179">
        <f t="shared" si="3"/>
        <v>255</v>
      </c>
      <c r="B260" s="165" t="s">
        <v>687</v>
      </c>
      <c r="C260" s="166" t="s">
        <v>688</v>
      </c>
      <c r="D260" s="167" t="s">
        <v>136</v>
      </c>
      <c r="E260" s="168"/>
      <c r="F260" s="166"/>
      <c r="G260" s="170"/>
      <c r="H260" s="166"/>
    </row>
    <row r="261" spans="1:8" ht="28.8" customHeight="1" x14ac:dyDescent="0.7">
      <c r="A261" s="179">
        <f t="shared" si="3"/>
        <v>256</v>
      </c>
      <c r="B261" s="165" t="s">
        <v>689</v>
      </c>
      <c r="C261" s="166" t="s">
        <v>690</v>
      </c>
      <c r="D261" s="167" t="s">
        <v>136</v>
      </c>
      <c r="E261" s="168"/>
      <c r="F261" s="166"/>
      <c r="G261" s="170"/>
      <c r="H261" s="166"/>
    </row>
    <row r="262" spans="1:8" ht="13.95" customHeight="1" x14ac:dyDescent="0.7"/>
    <row r="263" spans="1:8" ht="13.95" customHeight="1" x14ac:dyDescent="0.7"/>
    <row r="264" spans="1:8" ht="13.95" customHeight="1" x14ac:dyDescent="0.7"/>
    <row r="265" spans="1:8" ht="13.95" customHeight="1" x14ac:dyDescent="0.7"/>
    <row r="266" spans="1:8" ht="13.95" customHeight="1" x14ac:dyDescent="0.7"/>
    <row r="267" spans="1:8" ht="13.95" customHeight="1" x14ac:dyDescent="0.7"/>
    <row r="268" spans="1:8" ht="13.95" customHeight="1" x14ac:dyDescent="0.7"/>
    <row r="269" spans="1:8" ht="13.95" customHeight="1" x14ac:dyDescent="0.7"/>
    <row r="270" spans="1:8" ht="13.95" customHeight="1" x14ac:dyDescent="0.7"/>
    <row r="271" spans="1:8" ht="13.95" customHeight="1" x14ac:dyDescent="0.7"/>
    <row r="272" spans="1:8"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mergeCells count="57">
    <mergeCell ref="B8:B15"/>
    <mergeCell ref="C8:C15"/>
    <mergeCell ref="D8:D15"/>
    <mergeCell ref="B16:B19"/>
    <mergeCell ref="C16:C19"/>
    <mergeCell ref="D16:D19"/>
    <mergeCell ref="B21:B25"/>
    <mergeCell ref="C21:C25"/>
    <mergeCell ref="D21:D25"/>
    <mergeCell ref="B33:B37"/>
    <mergeCell ref="C33:C37"/>
    <mergeCell ref="D33:D37"/>
    <mergeCell ref="B41:B45"/>
    <mergeCell ref="C41:C45"/>
    <mergeCell ref="D41:D45"/>
    <mergeCell ref="B51:B166"/>
    <mergeCell ref="C51:C166"/>
    <mergeCell ref="D51:D166"/>
    <mergeCell ref="B188:B189"/>
    <mergeCell ref="C188:C189"/>
    <mergeCell ref="D188:D189"/>
    <mergeCell ref="B192:B193"/>
    <mergeCell ref="C192:C193"/>
    <mergeCell ref="D192:D193"/>
    <mergeCell ref="B197:B198"/>
    <mergeCell ref="C197:C198"/>
    <mergeCell ref="D197:D198"/>
    <mergeCell ref="B201:B202"/>
    <mergeCell ref="C201:C202"/>
    <mergeCell ref="D201:D202"/>
    <mergeCell ref="B204:B208"/>
    <mergeCell ref="C204:C208"/>
    <mergeCell ref="D204:D208"/>
    <mergeCell ref="B209:B210"/>
    <mergeCell ref="C209:C210"/>
    <mergeCell ref="D209:D210"/>
    <mergeCell ref="B212:B214"/>
    <mergeCell ref="C212:C214"/>
    <mergeCell ref="D212:D214"/>
    <mergeCell ref="B215:B219"/>
    <mergeCell ref="C215:C219"/>
    <mergeCell ref="D215:D219"/>
    <mergeCell ref="B220:B221"/>
    <mergeCell ref="C220:C221"/>
    <mergeCell ref="D220:D221"/>
    <mergeCell ref="B225:B226"/>
    <mergeCell ref="C225:C226"/>
    <mergeCell ref="D225:D226"/>
    <mergeCell ref="B246:B258"/>
    <mergeCell ref="C246:C258"/>
    <mergeCell ref="D246:D258"/>
    <mergeCell ref="B227:B232"/>
    <mergeCell ref="C227:C232"/>
    <mergeCell ref="D227:D232"/>
    <mergeCell ref="B240:B242"/>
    <mergeCell ref="C240:C242"/>
    <mergeCell ref="D240:D242"/>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3.15234375" style="217" hidden="1" customWidth="1"/>
    <col min="10" max="10" width="13.15234375" style="221" customWidth="1"/>
    <col min="11" max="81" width="9.15234375" style="221"/>
    <col min="82" max="16384" width="9.15234375" style="13"/>
  </cols>
  <sheetData>
    <row r="1" spans="1:9" s="53" customFormat="1" ht="21" customHeight="1" x14ac:dyDescent="0.7">
      <c r="C1" s="2"/>
      <c r="D1" s="2"/>
      <c r="E1" s="52"/>
      <c r="F1" s="2"/>
      <c r="G1" s="52"/>
      <c r="H1" s="2"/>
      <c r="I1" s="59"/>
    </row>
    <row r="2" spans="1:9" s="53" customFormat="1" ht="21" customHeight="1" x14ac:dyDescent="0.7">
      <c r="A2" s="21" t="s">
        <v>4</v>
      </c>
      <c r="B2" s="21"/>
      <c r="C2" s="2"/>
      <c r="D2" s="2"/>
      <c r="E2" s="52"/>
      <c r="F2" s="2"/>
      <c r="G2" s="52"/>
      <c r="H2" s="2"/>
      <c r="I2" s="59"/>
    </row>
    <row r="3" spans="1:9" s="53" customFormat="1" ht="21" customHeight="1" x14ac:dyDescent="0.7">
      <c r="A3" s="94" t="str" cm="1">
        <f t="array" aca="1" ref="A3" ca="1">MID(CELL("filename",A1),FIND("]",CELL("filename",A1))+1,256)</f>
        <v>DevCoAssessmentInput(P&amp;M)</v>
      </c>
      <c r="B3" s="22"/>
      <c r="C3" s="2"/>
      <c r="D3" s="2"/>
      <c r="E3" s="52"/>
      <c r="F3" s="2"/>
      <c r="G3" s="52"/>
      <c r="H3" s="2"/>
      <c r="I3" s="59"/>
    </row>
    <row r="4" spans="1:9" s="53" customFormat="1" ht="4.95" customHeight="1" x14ac:dyDescent="0.7">
      <c r="A4" s="22"/>
      <c r="B4" s="22"/>
      <c r="C4" s="2"/>
      <c r="D4" s="2"/>
      <c r="E4" s="52"/>
      <c r="F4" s="2"/>
      <c r="G4" s="52"/>
      <c r="H4" s="2"/>
      <c r="I4" s="59"/>
    </row>
    <row r="5" spans="1:9" s="29" customFormat="1" ht="43.05" customHeight="1" x14ac:dyDescent="0.7">
      <c r="A5" s="30" t="s">
        <v>691</v>
      </c>
      <c r="B5" s="30" t="s">
        <v>692</v>
      </c>
      <c r="C5" s="30" t="s">
        <v>693</v>
      </c>
      <c r="D5" s="57" t="s">
        <v>694</v>
      </c>
      <c r="E5" s="33" t="s">
        <v>695</v>
      </c>
      <c r="F5" s="58" t="s">
        <v>696</v>
      </c>
      <c r="G5" s="33" t="s">
        <v>697</v>
      </c>
      <c r="H5" s="58" t="s">
        <v>698</v>
      </c>
      <c r="I5" s="56" t="s">
        <v>699</v>
      </c>
    </row>
    <row r="6" spans="1:9" ht="42.6" customHeight="1" x14ac:dyDescent="0.7">
      <c r="A6" s="280" t="s">
        <v>700</v>
      </c>
      <c r="B6" s="218" t="s">
        <v>100</v>
      </c>
      <c r="C6" s="161">
        <v>500000000</v>
      </c>
      <c r="D6" s="141"/>
      <c r="E6" s="62"/>
      <c r="F6" s="219"/>
      <c r="G6" s="62"/>
      <c r="H6" s="219"/>
      <c r="I6" s="337" t="s">
        <v>701</v>
      </c>
    </row>
    <row r="7" spans="1:9" ht="28.8" customHeight="1" x14ac:dyDescent="0.7">
      <c r="A7" s="281"/>
      <c r="B7" s="218" t="s">
        <v>83</v>
      </c>
      <c r="C7" s="161">
        <v>450000000</v>
      </c>
      <c r="D7" s="141"/>
      <c r="E7" s="62"/>
      <c r="F7" s="219"/>
      <c r="G7" s="62"/>
      <c r="H7" s="219"/>
      <c r="I7" s="337"/>
    </row>
    <row r="8" spans="1:9" ht="42.6" customHeight="1" x14ac:dyDescent="0.7">
      <c r="A8" s="338" t="s">
        <v>702</v>
      </c>
      <c r="B8" s="218" t="s">
        <v>703</v>
      </c>
      <c r="C8" s="161">
        <v>20</v>
      </c>
      <c r="D8" s="141"/>
      <c r="E8" s="62"/>
      <c r="F8" s="219"/>
      <c r="G8" s="62"/>
      <c r="H8" s="219"/>
      <c r="I8" s="337" t="s">
        <v>704</v>
      </c>
    </row>
    <row r="9" spans="1:9" ht="28.8" customHeight="1" x14ac:dyDescent="0.7">
      <c r="A9" s="339"/>
      <c r="B9" s="218" t="s">
        <v>705</v>
      </c>
      <c r="C9" s="161">
        <v>14</v>
      </c>
      <c r="D9" s="141"/>
      <c r="E9" s="62"/>
      <c r="F9" s="222"/>
      <c r="G9" s="62"/>
      <c r="H9" s="222"/>
      <c r="I9" s="337"/>
    </row>
    <row r="10" spans="1:9" ht="70.2" customHeight="1" x14ac:dyDescent="0.7">
      <c r="A10" s="338" t="s">
        <v>706</v>
      </c>
      <c r="B10" s="218" t="s">
        <v>707</v>
      </c>
      <c r="C10" s="161">
        <v>9</v>
      </c>
      <c r="D10" s="141"/>
      <c r="E10" s="62"/>
      <c r="F10" s="222"/>
      <c r="G10" s="62"/>
      <c r="H10" s="222"/>
      <c r="I10" s="337" t="s">
        <v>708</v>
      </c>
    </row>
    <row r="11" spans="1:9" ht="70.2" customHeight="1" x14ac:dyDescent="0.7">
      <c r="A11" s="339"/>
      <c r="B11" s="218" t="s">
        <v>709</v>
      </c>
      <c r="C11" s="161">
        <v>2</v>
      </c>
      <c r="D11" s="141"/>
      <c r="E11" s="62"/>
      <c r="F11" s="222"/>
      <c r="G11" s="62"/>
      <c r="H11" s="222"/>
      <c r="I11" s="337"/>
    </row>
    <row r="12" spans="1:9" ht="70.2" customHeight="1" x14ac:dyDescent="0.7">
      <c r="A12" s="338" t="s">
        <v>710</v>
      </c>
      <c r="B12" s="218" t="s">
        <v>711</v>
      </c>
      <c r="C12" s="161">
        <v>11</v>
      </c>
      <c r="D12" s="141"/>
      <c r="E12" s="62"/>
      <c r="F12" s="222"/>
      <c r="G12" s="62"/>
      <c r="H12" s="222"/>
      <c r="I12" s="337" t="s">
        <v>712</v>
      </c>
    </row>
    <row r="13" spans="1:9" ht="70.2" customHeight="1" x14ac:dyDescent="0.7">
      <c r="A13" s="339"/>
      <c r="B13" s="218" t="s">
        <v>713</v>
      </c>
      <c r="C13" s="161">
        <v>6</v>
      </c>
      <c r="D13" s="141"/>
      <c r="E13" s="62"/>
      <c r="F13" s="222"/>
      <c r="G13" s="62"/>
      <c r="H13" s="222"/>
      <c r="I13" s="337"/>
    </row>
    <row r="14" spans="1:9" ht="42.6" customHeight="1" x14ac:dyDescent="0.7">
      <c r="A14" s="338" t="s">
        <v>714</v>
      </c>
      <c r="B14" s="218" t="s">
        <v>715</v>
      </c>
      <c r="C14" s="161">
        <v>25</v>
      </c>
      <c r="D14" s="141"/>
      <c r="E14" s="62"/>
      <c r="F14" s="222"/>
      <c r="G14" s="62"/>
      <c r="H14" s="222"/>
      <c r="I14" s="337" t="s">
        <v>716</v>
      </c>
    </row>
    <row r="15" spans="1:9" ht="42.6" customHeight="1" x14ac:dyDescent="0.7">
      <c r="A15" s="340"/>
      <c r="B15" s="218" t="s">
        <v>717</v>
      </c>
      <c r="C15" s="161">
        <v>4</v>
      </c>
      <c r="D15" s="141"/>
      <c r="E15" s="62"/>
      <c r="F15" s="222"/>
      <c r="G15" s="62"/>
      <c r="H15" s="222"/>
      <c r="I15" s="337"/>
    </row>
    <row r="16" spans="1:9" ht="42.6" customHeight="1" x14ac:dyDescent="0.7">
      <c r="A16" s="339"/>
      <c r="B16" s="218" t="s">
        <v>718</v>
      </c>
      <c r="C16" s="161">
        <v>9</v>
      </c>
      <c r="D16" s="141"/>
      <c r="E16" s="62"/>
      <c r="F16" s="222"/>
      <c r="G16" s="62"/>
      <c r="H16" s="222"/>
      <c r="I16" s="337"/>
    </row>
    <row r="17" spans="1:9" ht="56.4" customHeight="1" x14ac:dyDescent="0.7">
      <c r="A17" s="187" t="s">
        <v>719</v>
      </c>
      <c r="B17" s="218" t="s">
        <v>720</v>
      </c>
      <c r="C17" s="161">
        <v>3</v>
      </c>
      <c r="D17" s="141"/>
      <c r="E17" s="62"/>
      <c r="F17" s="222"/>
      <c r="G17" s="62"/>
      <c r="H17" s="222"/>
      <c r="I17" s="220" t="s">
        <v>721</v>
      </c>
    </row>
    <row r="18" spans="1:9" ht="70.2" customHeight="1" x14ac:dyDescent="0.7">
      <c r="A18" s="187" t="s">
        <v>722</v>
      </c>
      <c r="B18" s="218" t="s">
        <v>723</v>
      </c>
      <c r="C18" s="161" t="s">
        <v>724</v>
      </c>
      <c r="D18" s="141"/>
      <c r="E18" s="62"/>
      <c r="F18" s="222"/>
      <c r="G18" s="62"/>
      <c r="H18" s="222"/>
      <c r="I18" s="220" t="s">
        <v>725</v>
      </c>
    </row>
    <row r="19" spans="1:9" ht="84" customHeight="1" x14ac:dyDescent="0.7">
      <c r="A19" s="187" t="s">
        <v>726</v>
      </c>
      <c r="B19" s="218" t="s">
        <v>727</v>
      </c>
      <c r="C19" s="161" t="s">
        <v>728</v>
      </c>
      <c r="D19" s="141"/>
      <c r="E19" s="62"/>
      <c r="F19" s="222"/>
      <c r="G19" s="62"/>
      <c r="H19" s="222"/>
      <c r="I19" s="220" t="s">
        <v>729</v>
      </c>
    </row>
    <row r="20" spans="1:9" ht="42.6" customHeight="1" x14ac:dyDescent="0.7">
      <c r="A20" s="187" t="s">
        <v>730</v>
      </c>
      <c r="B20" s="218" t="s">
        <v>731</v>
      </c>
      <c r="C20" s="161" t="s">
        <v>724</v>
      </c>
      <c r="D20" s="141"/>
      <c r="E20" s="62"/>
      <c r="F20" s="222"/>
      <c r="G20" s="62"/>
      <c r="H20" s="222"/>
      <c r="I20" s="220" t="s">
        <v>732</v>
      </c>
    </row>
    <row r="21" spans="1:9" ht="56.4" customHeight="1" x14ac:dyDescent="0.7">
      <c r="A21" s="187" t="s">
        <v>733</v>
      </c>
      <c r="B21" s="218" t="s">
        <v>734</v>
      </c>
      <c r="C21" s="161" t="s">
        <v>735</v>
      </c>
      <c r="D21" s="141"/>
      <c r="E21" s="62"/>
      <c r="F21" s="222"/>
      <c r="G21" s="62"/>
      <c r="H21" s="222"/>
      <c r="I21" s="220" t="s">
        <v>736</v>
      </c>
    </row>
    <row r="22" spans="1:9" ht="42.6" customHeight="1" x14ac:dyDescent="0.7">
      <c r="A22" s="187" t="s">
        <v>737</v>
      </c>
      <c r="B22" s="218" t="s">
        <v>738</v>
      </c>
      <c r="C22" s="161" t="s">
        <v>739</v>
      </c>
      <c r="D22" s="141"/>
      <c r="E22" s="62"/>
      <c r="F22" s="222"/>
      <c r="G22" s="62"/>
      <c r="H22" s="222"/>
      <c r="I22" s="220" t="s">
        <v>740</v>
      </c>
    </row>
    <row r="23" spans="1:9" ht="42.6" customHeight="1" x14ac:dyDescent="0.7">
      <c r="A23" s="187" t="s">
        <v>741</v>
      </c>
      <c r="B23" s="218" t="s">
        <v>742</v>
      </c>
      <c r="C23" s="161" t="s">
        <v>743</v>
      </c>
      <c r="D23" s="141"/>
      <c r="E23" s="62"/>
      <c r="F23" s="222"/>
      <c r="G23" s="62"/>
      <c r="H23" s="222"/>
      <c r="I23" s="220" t="s">
        <v>744</v>
      </c>
    </row>
    <row r="24" spans="1:9" ht="42.6" customHeight="1" x14ac:dyDescent="0.7">
      <c r="A24" s="338" t="s">
        <v>745</v>
      </c>
      <c r="B24" s="218" t="s">
        <v>746</v>
      </c>
      <c r="C24" s="161">
        <v>65</v>
      </c>
      <c r="D24" s="141"/>
      <c r="E24" s="62"/>
      <c r="F24" s="222"/>
      <c r="G24" s="62"/>
      <c r="H24" s="222"/>
      <c r="I24" s="337" t="s">
        <v>747</v>
      </c>
    </row>
    <row r="25" spans="1:9" ht="28.8" customHeight="1" x14ac:dyDescent="0.7">
      <c r="A25" s="339"/>
      <c r="B25" s="218" t="s">
        <v>748</v>
      </c>
      <c r="C25" s="161">
        <v>80</v>
      </c>
      <c r="D25" s="141"/>
      <c r="E25" s="62"/>
      <c r="F25" s="222"/>
      <c r="G25" s="62"/>
      <c r="H25" s="222"/>
      <c r="I25" s="337"/>
    </row>
    <row r="26" spans="1:9" ht="42.6" customHeight="1" x14ac:dyDescent="0.7">
      <c r="A26" s="187" t="s">
        <v>749</v>
      </c>
      <c r="B26" s="218" t="s">
        <v>750</v>
      </c>
      <c r="C26" s="161" t="s">
        <v>739</v>
      </c>
      <c r="D26" s="141"/>
      <c r="E26" s="62"/>
      <c r="F26" s="222"/>
      <c r="G26" s="62"/>
      <c r="H26" s="222"/>
      <c r="I26" s="220" t="s">
        <v>751</v>
      </c>
    </row>
    <row r="27" spans="1:9" ht="56.4" customHeight="1" x14ac:dyDescent="0.7">
      <c r="A27" s="187" t="s">
        <v>752</v>
      </c>
      <c r="B27" s="218" t="s">
        <v>753</v>
      </c>
      <c r="C27" s="161" t="s">
        <v>754</v>
      </c>
      <c r="D27" s="141"/>
      <c r="E27" s="62"/>
      <c r="F27" s="222"/>
      <c r="G27" s="62"/>
      <c r="H27" s="222"/>
      <c r="I27" s="220" t="s">
        <v>755</v>
      </c>
    </row>
    <row r="28" spans="1:9" ht="56.4" customHeight="1" x14ac:dyDescent="0.7">
      <c r="A28" s="187" t="s">
        <v>756</v>
      </c>
      <c r="B28" s="218" t="s">
        <v>757</v>
      </c>
      <c r="C28" s="161" t="s">
        <v>758</v>
      </c>
      <c r="D28" s="141"/>
      <c r="E28" s="62"/>
      <c r="F28" s="222"/>
      <c r="G28" s="62"/>
      <c r="H28" s="222"/>
      <c r="I28" s="220" t="s">
        <v>759</v>
      </c>
    </row>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sHNje+jbNSum07PFIZPWbFM9DTt+t45UcVoZ2bSSsvVy9gwPi1OEWJcND2qdCu5GmNiIs14WVDRpO4gKc9aIOg==" saltValue="8zr8BLTsUBRVuRTc+W4uEQ==" spinCount="100000" sheet="1" objects="1" scenarios="1" sort="0" autoFilter="0" pivotTables="0"/>
  <mergeCells count="11">
    <mergeCell ref="I6:I7"/>
    <mergeCell ref="I8:I9"/>
    <mergeCell ref="I10:I11"/>
    <mergeCell ref="I12:I13"/>
    <mergeCell ref="I14:I16"/>
    <mergeCell ref="I24:I25"/>
    <mergeCell ref="A8:A9"/>
    <mergeCell ref="A10:A11"/>
    <mergeCell ref="A12:A13"/>
    <mergeCell ref="A14:A16"/>
    <mergeCell ref="A24:A25"/>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C7"/>
    </sheetView>
  </sheetViews>
  <sheetFormatPr defaultColWidth="9.15234375" defaultRowHeight="16.95" customHeight="1" x14ac:dyDescent="0.7"/>
  <cols>
    <col min="1" max="1" width="33.69140625" style="3" customWidth="1"/>
    <col min="2" max="2" width="8.61328125" style="233" hidden="1" customWidth="1"/>
    <col min="3" max="3" width="7.69140625" style="234" customWidth="1"/>
    <col min="4" max="4" width="11.69140625" style="67" customWidth="1"/>
    <col min="5" max="5" width="7.69140625" style="235" customWidth="1"/>
    <col min="6" max="6" width="11.69140625" style="234" customWidth="1"/>
    <col min="7" max="7" width="33.69140625" style="236" customWidth="1"/>
    <col min="8" max="8" width="8.69140625" style="236" customWidth="1"/>
    <col min="9" max="9" width="12.69140625" style="236" customWidth="1"/>
    <col min="10" max="10" width="11.69140625" style="236" customWidth="1"/>
    <col min="11" max="11" width="30.69140625" style="67" customWidth="1"/>
    <col min="12" max="12" width="12.69140625" style="67" customWidth="1"/>
    <col min="13" max="13" width="12.69140625" style="60" customWidth="1"/>
    <col min="14" max="14" width="12.69140625" style="234" customWidth="1"/>
    <col min="15" max="15" width="20.69140625" style="67" customWidth="1"/>
    <col min="16" max="16" width="10.69140625" style="67" customWidth="1"/>
    <col min="17" max="17" width="8.69140625" style="60" customWidth="1"/>
    <col min="18" max="18" width="20.69140625" style="67" customWidth="1"/>
    <col min="19" max="81" width="9.15234375" style="223"/>
    <col min="82" max="16384" width="9.15234375" style="1"/>
  </cols>
  <sheetData>
    <row r="1" spans="1:81" ht="21" customHeight="1" x14ac:dyDescent="0.7">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42.6" customHeight="1" x14ac:dyDescent="0.7">
      <c r="A6" s="338" t="s">
        <v>700</v>
      </c>
      <c r="B6" s="220" t="s">
        <v>100</v>
      </c>
      <c r="C6" s="353">
        <f>'DevCoAssessmentInput(P&amp;M)'!$C$7/'DevCoAssessmentInput(P&amp;M)'!$C$6</f>
        <v>0.9</v>
      </c>
      <c r="D6" s="345" t="str">
        <f>_xlfn.IFS($C$6&gt;1,"Good",$C$6&gt;=0.85,"Satisfactory",$C$6&lt;0.85,"Needs Improvement")</f>
        <v>Satisfactory</v>
      </c>
      <c r="E6" s="346">
        <f>_xlfn.IFS($D$6="Good", 3, $D$6="Satisfactory", 2, $D$6="Needs Improvement", 1)</f>
        <v>2</v>
      </c>
      <c r="F6" s="344">
        <v>0.7</v>
      </c>
      <c r="G6" s="347" t="s">
        <v>701</v>
      </c>
      <c r="H6" s="344" t="s">
        <v>776</v>
      </c>
      <c r="I6" s="344" t="s">
        <v>777</v>
      </c>
      <c r="J6" s="344" t="s">
        <v>778</v>
      </c>
      <c r="K6" s="342"/>
      <c r="L6" s="352" t="s">
        <v>779</v>
      </c>
      <c r="M6" s="350">
        <f>($F$6*$E$6+$F$8*$E$8)</f>
        <v>2</v>
      </c>
      <c r="N6" s="351">
        <v>0.5</v>
      </c>
      <c r="O6" s="342"/>
      <c r="P6" s="343" t="s">
        <v>780</v>
      </c>
      <c r="Q6" s="341">
        <f>($N$6*$M$6+$N$10*$M$10+$N$17*$M$17)</f>
        <v>2.1</v>
      </c>
      <c r="R6" s="342" t="s">
        <v>781</v>
      </c>
    </row>
    <row r="7" spans="1:81" ht="13.95" hidden="1" customHeight="1" x14ac:dyDescent="0.7">
      <c r="A7" s="339"/>
      <c r="B7" s="220" t="s">
        <v>83</v>
      </c>
      <c r="C7" s="353"/>
      <c r="D7" s="345"/>
      <c r="E7" s="346"/>
      <c r="F7" s="344"/>
      <c r="G7" s="349"/>
      <c r="H7" s="344"/>
      <c r="I7" s="344"/>
      <c r="J7" s="344"/>
      <c r="K7" s="342"/>
      <c r="L7" s="352"/>
      <c r="M7" s="350"/>
      <c r="N7" s="351"/>
      <c r="O7" s="342"/>
      <c r="P7" s="343"/>
      <c r="Q7" s="341"/>
      <c r="R7" s="342"/>
    </row>
    <row r="8" spans="1:81" ht="56.55" customHeight="1" x14ac:dyDescent="0.7">
      <c r="A8" s="338" t="s">
        <v>702</v>
      </c>
      <c r="B8" s="220" t="s">
        <v>703</v>
      </c>
      <c r="C8" s="344">
        <f>'DevCoAssessmentInput(P&amp;M)'!$C$9/'DevCoAssessmentInput(P&amp;M)'!$C$8</f>
        <v>0.7</v>
      </c>
      <c r="D8" s="345" t="str">
        <f>_xlfn.IFS($C$8&gt;0.7,"Good",$C$8&gt;=0.5,"Satisfactory",$C$8&lt;0.5,"Needs Improvement")</f>
        <v>Satisfactory</v>
      </c>
      <c r="E8" s="346">
        <f>_xlfn.IFS($D$8="Good", 3, $D$8="Satisfactory", 2, $D$8="Needs Improvement", 1)</f>
        <v>2</v>
      </c>
      <c r="F8" s="344">
        <v>0.3</v>
      </c>
      <c r="G8" s="347" t="s">
        <v>704</v>
      </c>
      <c r="H8" s="344" t="s">
        <v>782</v>
      </c>
      <c r="I8" s="344" t="s">
        <v>783</v>
      </c>
      <c r="J8" s="344" t="s">
        <v>784</v>
      </c>
      <c r="K8" s="342"/>
      <c r="L8" s="352"/>
      <c r="M8" s="350"/>
      <c r="N8" s="351"/>
      <c r="O8" s="342"/>
      <c r="P8" s="343"/>
      <c r="Q8" s="341"/>
      <c r="R8" s="342"/>
    </row>
    <row r="9" spans="1:81" ht="13.95" hidden="1" customHeight="1" x14ac:dyDescent="0.7">
      <c r="A9" s="339"/>
      <c r="B9" s="220" t="s">
        <v>705</v>
      </c>
      <c r="C9" s="344"/>
      <c r="D9" s="345"/>
      <c r="E9" s="346"/>
      <c r="F9" s="344"/>
      <c r="G9" s="349"/>
      <c r="H9" s="344"/>
      <c r="I9" s="344"/>
      <c r="J9" s="344"/>
      <c r="K9" s="342"/>
      <c r="L9" s="352"/>
      <c r="M9" s="350"/>
      <c r="N9" s="351"/>
      <c r="O9" s="342"/>
      <c r="P9" s="343"/>
      <c r="Q9" s="341"/>
      <c r="R9" s="342"/>
    </row>
    <row r="10" spans="1:81" ht="84" customHeight="1" x14ac:dyDescent="0.7">
      <c r="A10" s="338" t="s">
        <v>706</v>
      </c>
      <c r="B10" s="220" t="s">
        <v>707</v>
      </c>
      <c r="C10" s="344">
        <f>'DevCoAssessmentInput(P&amp;M)'!$C$11/'DevCoAssessmentInput(P&amp;M)'!$C$10</f>
        <v>0.22222222222222221</v>
      </c>
      <c r="D10" s="345" t="str">
        <f>_xlfn.IFS($C$10&lt;0.3,"Good",$C$10&lt;=0.7,"Satisfactory",$C$10&gt;0.7,"Needs Improvement")</f>
        <v>Good</v>
      </c>
      <c r="E10" s="346">
        <f>_xlfn.IFS($D$10="Good", 3, $D$10="Satisfactory", 2, $D$10="Needs Improvement", 1)</f>
        <v>3</v>
      </c>
      <c r="F10" s="344">
        <v>0.4</v>
      </c>
      <c r="G10" s="347" t="s">
        <v>708</v>
      </c>
      <c r="H10" s="344" t="s">
        <v>785</v>
      </c>
      <c r="I10" s="344" t="s">
        <v>786</v>
      </c>
      <c r="J10" s="344" t="s">
        <v>782</v>
      </c>
      <c r="K10" s="342"/>
      <c r="L10" s="352" t="s">
        <v>787</v>
      </c>
      <c r="M10" s="350">
        <f>($F$10*$E$10+$F$12*$E$12+$F$14*$E$14)</f>
        <v>2.2000000000000002</v>
      </c>
      <c r="N10" s="351">
        <v>0.3</v>
      </c>
      <c r="O10" s="342"/>
      <c r="P10" s="343"/>
      <c r="Q10" s="341"/>
      <c r="R10" s="342"/>
    </row>
    <row r="11" spans="1:81" ht="13.95" hidden="1" customHeight="1" x14ac:dyDescent="0.7">
      <c r="A11" s="339"/>
      <c r="B11" s="220" t="s">
        <v>709</v>
      </c>
      <c r="C11" s="344"/>
      <c r="D11" s="345"/>
      <c r="E11" s="346"/>
      <c r="F11" s="344"/>
      <c r="G11" s="349"/>
      <c r="H11" s="344"/>
      <c r="I11" s="344"/>
      <c r="J11" s="344"/>
      <c r="K11" s="342"/>
      <c r="L11" s="352"/>
      <c r="M11" s="350"/>
      <c r="N11" s="351"/>
      <c r="O11" s="342"/>
      <c r="P11" s="343"/>
      <c r="Q11" s="341"/>
      <c r="R11" s="342"/>
    </row>
    <row r="12" spans="1:81" ht="84" customHeight="1" x14ac:dyDescent="0.7">
      <c r="A12" s="338" t="s">
        <v>710</v>
      </c>
      <c r="B12" s="220" t="s">
        <v>711</v>
      </c>
      <c r="C12" s="344">
        <f>'DevCoAssessmentInput(P&amp;M)'!$C$13/'DevCoAssessmentInput(P&amp;M)'!$C$12</f>
        <v>0.54545454545454541</v>
      </c>
      <c r="D12" s="345" t="str">
        <f>_xlfn.IFS($C$12&lt;0.3,"Good",$C$12&lt;=0.7,"Satisfactory",$C$12&gt;0.7,"Needs Improvement")</f>
        <v>Satisfactory</v>
      </c>
      <c r="E12" s="346">
        <f>_xlfn.IFS($D$12="Good", 3, $D$12="Satisfactory", 2, $D$12="Needs Improvement", 1)</f>
        <v>2</v>
      </c>
      <c r="F12" s="344">
        <v>0.4</v>
      </c>
      <c r="G12" s="347" t="s">
        <v>712</v>
      </c>
      <c r="H12" s="344" t="s">
        <v>785</v>
      </c>
      <c r="I12" s="344" t="s">
        <v>786</v>
      </c>
      <c r="J12" s="344" t="s">
        <v>782</v>
      </c>
      <c r="K12" s="342"/>
      <c r="L12" s="352"/>
      <c r="M12" s="350"/>
      <c r="N12" s="351"/>
      <c r="O12" s="342"/>
      <c r="P12" s="343"/>
      <c r="Q12" s="341"/>
      <c r="R12" s="342"/>
    </row>
    <row r="13" spans="1:81" ht="13.95" hidden="1" customHeight="1" x14ac:dyDescent="0.7">
      <c r="A13" s="339"/>
      <c r="B13" s="220" t="s">
        <v>713</v>
      </c>
      <c r="C13" s="344"/>
      <c r="D13" s="345"/>
      <c r="E13" s="346"/>
      <c r="F13" s="344"/>
      <c r="G13" s="349"/>
      <c r="H13" s="344"/>
      <c r="I13" s="344"/>
      <c r="J13" s="344"/>
      <c r="K13" s="342"/>
      <c r="L13" s="352"/>
      <c r="M13" s="350"/>
      <c r="N13" s="351"/>
      <c r="O13" s="342"/>
      <c r="P13" s="343"/>
      <c r="Q13" s="341"/>
      <c r="R13" s="342"/>
    </row>
    <row r="14" spans="1:81" ht="56.55" customHeight="1" x14ac:dyDescent="0.7">
      <c r="A14" s="338" t="s">
        <v>714</v>
      </c>
      <c r="B14" s="220" t="s">
        <v>715</v>
      </c>
      <c r="C14" s="344">
        <f>('DevCoAssessmentInput(P&amp;M)'!$C$15+'DevCoAssessmentInput(P&amp;M)'!$C$16)/('DevCoAssessmentInput(P&amp;M)'!$C$10+'DevCoAssessmentInput(P&amp;M)'!$C$12)</f>
        <v>0.65</v>
      </c>
      <c r="D14" s="345" t="str">
        <f>_xlfn.IFS($C$14&lt;0.2,"Good",$C$14&lt;=0.4,"Satisfactory",$C$14&gt;0.4,"Needs Improvement")</f>
        <v>Needs Improvement</v>
      </c>
      <c r="E14" s="346">
        <f>_xlfn.IFS($D$14="Good", 3, $D$14="Satisfactory", 2, $D$14="Needs Improvement", 1)</f>
        <v>1</v>
      </c>
      <c r="F14" s="344">
        <v>0.2</v>
      </c>
      <c r="G14" s="347" t="s">
        <v>716</v>
      </c>
      <c r="H14" s="344" t="s">
        <v>788</v>
      </c>
      <c r="I14" s="344" t="s">
        <v>789</v>
      </c>
      <c r="J14" s="344" t="s">
        <v>790</v>
      </c>
      <c r="K14" s="342"/>
      <c r="L14" s="352"/>
      <c r="M14" s="350"/>
      <c r="N14" s="351"/>
      <c r="O14" s="342"/>
      <c r="P14" s="343"/>
      <c r="Q14" s="341"/>
      <c r="R14" s="342"/>
    </row>
    <row r="15" spans="1:81" ht="13.95" hidden="1" customHeight="1" x14ac:dyDescent="0.7">
      <c r="A15" s="340"/>
      <c r="B15" s="220" t="s">
        <v>717</v>
      </c>
      <c r="C15" s="344"/>
      <c r="D15" s="345"/>
      <c r="E15" s="346"/>
      <c r="F15" s="344"/>
      <c r="G15" s="348"/>
      <c r="H15" s="344"/>
      <c r="I15" s="344"/>
      <c r="J15" s="344"/>
      <c r="K15" s="342"/>
      <c r="L15" s="352"/>
      <c r="M15" s="350"/>
      <c r="N15" s="351"/>
      <c r="O15" s="342"/>
      <c r="P15" s="343"/>
      <c r="Q15" s="341"/>
      <c r="R15" s="342"/>
    </row>
    <row r="16" spans="1:81" ht="13.95" hidden="1" customHeight="1" x14ac:dyDescent="0.7">
      <c r="A16" s="339"/>
      <c r="B16" s="220" t="s">
        <v>718</v>
      </c>
      <c r="C16" s="344"/>
      <c r="D16" s="345"/>
      <c r="E16" s="346"/>
      <c r="F16" s="344"/>
      <c r="G16" s="349"/>
      <c r="H16" s="344"/>
      <c r="I16" s="344"/>
      <c r="J16" s="344"/>
      <c r="K16" s="342"/>
      <c r="L16" s="352"/>
      <c r="M16" s="350"/>
      <c r="N16" s="351"/>
      <c r="O16" s="342"/>
      <c r="P16" s="343"/>
      <c r="Q16" s="341"/>
      <c r="R16" s="342"/>
    </row>
    <row r="17" spans="1:18" ht="97.95" customHeight="1" x14ac:dyDescent="0.7">
      <c r="A17" s="187" t="s">
        <v>719</v>
      </c>
      <c r="B17" s="220" t="s">
        <v>720</v>
      </c>
      <c r="C17" s="228">
        <f>('DevCoAssessmentInput(P&amp;M)'!$C$17)/('DevCoAssessmentInput(P&amp;M)'!$C$15+'DevCoAssessmentInput(P&amp;M)'!$C$16)</f>
        <v>0.23076923076923078</v>
      </c>
      <c r="D17" s="226" t="str">
        <f>_xlfn.IFS($C$17&lt;0.2,"Good",$C$17&lt;=0.4,"Satisfactory",$C$17&gt;0.4,"Needs Improvement")</f>
        <v>Satisfactory</v>
      </c>
      <c r="E17" s="227">
        <f>_xlfn.IFS($D$17="Good", 3, $D$17="Satisfactory", 2, $D$17="Needs Improvement", 1)</f>
        <v>2</v>
      </c>
      <c r="F17" s="228">
        <v>0.6</v>
      </c>
      <c r="G17" s="218" t="s">
        <v>721</v>
      </c>
      <c r="H17" s="228" t="s">
        <v>788</v>
      </c>
      <c r="I17" s="228" t="s">
        <v>789</v>
      </c>
      <c r="J17" s="228" t="s">
        <v>790</v>
      </c>
      <c r="K17" s="229"/>
      <c r="L17" s="352" t="s">
        <v>791</v>
      </c>
      <c r="M17" s="350">
        <f>($F$17*$E$17+$F$18*$E$18+$F$19*$E$19)</f>
        <v>2.2000000000000002</v>
      </c>
      <c r="N17" s="351">
        <v>0.2</v>
      </c>
      <c r="O17" s="342"/>
      <c r="P17" s="343"/>
      <c r="Q17" s="341"/>
      <c r="R17" s="342"/>
    </row>
    <row r="18" spans="1:18" ht="125.55" customHeight="1" x14ac:dyDescent="0.7">
      <c r="A18" s="187" t="s">
        <v>722</v>
      </c>
      <c r="B18" s="220" t="s">
        <v>723</v>
      </c>
      <c r="C18" s="228" t="str">
        <f>'DevCoAssessmentInput(P&amp;M)'!$C$18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52"/>
      <c r="M18" s="350"/>
      <c r="N18" s="351"/>
      <c r="O18" s="342"/>
      <c r="P18" s="343"/>
      <c r="Q18" s="341"/>
      <c r="R18" s="342"/>
    </row>
    <row r="19" spans="1:18" ht="111.6" customHeight="1" x14ac:dyDescent="0.7">
      <c r="A19" s="187" t="s">
        <v>726</v>
      </c>
      <c r="B19" s="220" t="s">
        <v>727</v>
      </c>
      <c r="C19" s="228" t="str">
        <f>'DevCoAssessmentInput(P&amp;M)'!$C$19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52"/>
      <c r="M19" s="350"/>
      <c r="N19" s="351"/>
      <c r="O19" s="342"/>
      <c r="P19" s="343"/>
      <c r="Q19" s="341"/>
      <c r="R19" s="342"/>
    </row>
    <row r="20" spans="1:18" ht="56.55" customHeight="1" x14ac:dyDescent="0.7">
      <c r="A20" s="187" t="s">
        <v>730</v>
      </c>
      <c r="B20" s="220" t="s">
        <v>731</v>
      </c>
      <c r="C20" s="228" t="str">
        <f>'DevCoAssessmentInput(P&amp;M)'!$C$20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52" t="s">
        <v>792</v>
      </c>
      <c r="M20" s="350">
        <f>($F$20*$E$20+$F$21*$E$21+$F$22*$E$22+$F$23*$E$23)</f>
        <v>2.5</v>
      </c>
      <c r="N20" s="351">
        <v>0.6</v>
      </c>
      <c r="O20" s="342"/>
      <c r="P20" s="343" t="s">
        <v>793</v>
      </c>
      <c r="Q20" s="341">
        <f>($N$20*$M$20+$N$24*$M$24)</f>
        <v>2.38</v>
      </c>
      <c r="R20" s="342"/>
    </row>
    <row r="21" spans="1:18" ht="70.2" customHeight="1" x14ac:dyDescent="0.7">
      <c r="A21" s="187" t="s">
        <v>733</v>
      </c>
      <c r="B21" s="220" t="s">
        <v>734</v>
      </c>
      <c r="C21" s="228" t="str">
        <f>'DevCoAssessmentInput(P&amp;M)'!$C$21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52"/>
      <c r="M21" s="350"/>
      <c r="N21" s="351"/>
      <c r="O21" s="342"/>
      <c r="P21" s="343"/>
      <c r="Q21" s="341"/>
      <c r="R21" s="342"/>
    </row>
    <row r="22" spans="1:18" ht="42.6" customHeight="1" x14ac:dyDescent="0.7">
      <c r="A22" s="187" t="s">
        <v>737</v>
      </c>
      <c r="B22" s="220" t="s">
        <v>738</v>
      </c>
      <c r="C22" s="228" t="str">
        <f>'DevCoAssessmentInput(P&amp;M)'!$C$22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794</v>
      </c>
      <c r="J22" s="228" t="s">
        <v>724</v>
      </c>
      <c r="K22" s="229"/>
      <c r="L22" s="352"/>
      <c r="M22" s="350"/>
      <c r="N22" s="351"/>
      <c r="O22" s="342"/>
      <c r="P22" s="343"/>
      <c r="Q22" s="341"/>
      <c r="R22" s="342"/>
    </row>
    <row r="23" spans="1:18" ht="70.2" customHeight="1" x14ac:dyDescent="0.7">
      <c r="A23" s="187" t="s">
        <v>741</v>
      </c>
      <c r="B23" s="220" t="s">
        <v>742</v>
      </c>
      <c r="C23" s="228" t="str">
        <f>'DevCoAssessmentInput(P&amp;M)'!$C$23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52"/>
      <c r="M23" s="350"/>
      <c r="N23" s="351"/>
      <c r="O23" s="342"/>
      <c r="P23" s="343"/>
      <c r="Q23" s="341"/>
      <c r="R23" s="342"/>
    </row>
    <row r="24" spans="1:18" ht="42.6" customHeight="1" x14ac:dyDescent="0.7">
      <c r="A24" s="338" t="s">
        <v>745</v>
      </c>
      <c r="B24" s="220" t="s">
        <v>746</v>
      </c>
      <c r="C24" s="344">
        <f>'DevCoAssessmentInput(P&amp;M)'!$C$24/'DevCoAssessmentInput(P&amp;M)'!$C$25</f>
        <v>0.8125</v>
      </c>
      <c r="D24" s="345" t="str">
        <f>_xlfn.IFS($C$24&gt;0.7,"Good",$C$24&gt;=0.4,"Satisfactory",$C$24&lt;0.4,"Needs Improvement")</f>
        <v>Good</v>
      </c>
      <c r="E24" s="346">
        <f>_xlfn.IFS($D$24="Good", 3, $D$24="Satisfactory", 2, $D$24="Needs Improvement", 1)</f>
        <v>3</v>
      </c>
      <c r="F24" s="344">
        <v>0.4</v>
      </c>
      <c r="G24" s="347" t="s">
        <v>747</v>
      </c>
      <c r="H24" s="344" t="s">
        <v>782</v>
      </c>
      <c r="I24" s="344" t="s">
        <v>795</v>
      </c>
      <c r="J24" s="344" t="s">
        <v>796</v>
      </c>
      <c r="K24" s="342"/>
      <c r="L24" s="352" t="s">
        <v>797</v>
      </c>
      <c r="M24" s="350">
        <f>($F$24*$E$24+$F$26*$E$26+$F$27*$E$27+$F$28*$E$28)</f>
        <v>2.2000000000000002</v>
      </c>
      <c r="N24" s="351">
        <v>0.4</v>
      </c>
      <c r="O24" s="342"/>
      <c r="P24" s="343"/>
      <c r="Q24" s="341"/>
      <c r="R24" s="342"/>
    </row>
    <row r="25" spans="1:18" ht="13.95" hidden="1" customHeight="1" x14ac:dyDescent="0.7">
      <c r="A25" s="339"/>
      <c r="B25" s="220" t="s">
        <v>748</v>
      </c>
      <c r="C25" s="344"/>
      <c r="D25" s="345"/>
      <c r="E25" s="346"/>
      <c r="F25" s="344"/>
      <c r="G25" s="349"/>
      <c r="H25" s="344"/>
      <c r="I25" s="344"/>
      <c r="J25" s="344"/>
      <c r="K25" s="342"/>
      <c r="L25" s="352"/>
      <c r="M25" s="350"/>
      <c r="N25" s="351"/>
      <c r="O25" s="342"/>
      <c r="P25" s="343"/>
      <c r="Q25" s="341"/>
      <c r="R25" s="342"/>
    </row>
    <row r="26" spans="1:18" ht="84" customHeight="1" x14ac:dyDescent="0.7">
      <c r="A26" s="187" t="s">
        <v>749</v>
      </c>
      <c r="B26" s="220" t="s">
        <v>750</v>
      </c>
      <c r="C26" s="228" t="str">
        <f>'DevCoAssessmentInput(P&amp;M)'!$C$26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52"/>
      <c r="M26" s="350"/>
      <c r="N26" s="351"/>
      <c r="O26" s="342"/>
      <c r="P26" s="343"/>
      <c r="Q26" s="341"/>
      <c r="R26" s="342"/>
    </row>
    <row r="27" spans="1:18" ht="70.2" customHeight="1" x14ac:dyDescent="0.7">
      <c r="A27" s="187" t="s">
        <v>752</v>
      </c>
      <c r="B27" s="220" t="s">
        <v>753</v>
      </c>
      <c r="C27" s="228" t="str">
        <f>'DevCoAssessmentInput(P&amp;M)'!$C$27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52"/>
      <c r="M27" s="350"/>
      <c r="N27" s="351"/>
      <c r="O27" s="342"/>
      <c r="P27" s="343"/>
      <c r="Q27" s="341"/>
      <c r="R27" s="342"/>
    </row>
    <row r="28" spans="1:18" ht="70.2" customHeight="1" x14ac:dyDescent="0.7">
      <c r="A28" s="187" t="s">
        <v>756</v>
      </c>
      <c r="B28" s="220" t="s">
        <v>757</v>
      </c>
      <c r="C28" s="228" t="str">
        <f>'DevCoAssessmentInput(P&amp;M)'!$C$28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52"/>
      <c r="M28" s="350"/>
      <c r="N28" s="351"/>
      <c r="O28" s="342"/>
      <c r="P28" s="343"/>
      <c r="Q28" s="341"/>
      <c r="R28" s="342"/>
    </row>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sheetData>
  <sheetProtection algorithmName="SHA-512" hashValue="izLSCoyAUmjriWRvpuW914SMWdDCxyMM9ovAsKX7oMH6oCXyvpQhNs+nHg04mDZMA7UyFLhQreWQs41+ZGs9nQ==" saltValue="udKYs9qfFd1heAjttX7YcA==" spinCount="100000" sheet="1" objects="1" scenarios="1" sort="0" autoFilter="0" pivotTables="0"/>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365" priority="285" stopIfTrue="1" operator="equal">
      <formula>0</formula>
    </cfRule>
    <cfRule type="cellIs" dxfId="364" priority="286" stopIfTrue="1" operator="lessThan">
      <formula>1.5</formula>
    </cfRule>
    <cfRule type="cellIs" dxfId="363" priority="287" stopIfTrue="1" operator="lessThan">
      <formula>2.5</formula>
    </cfRule>
    <cfRule type="cellIs" dxfId="362" priority="288" stopIfTrue="1" operator="greaterThanOrEqual">
      <formula>2.5</formula>
    </cfRule>
  </conditionalFormatting>
  <conditionalFormatting sqref="E6:E28">
    <cfRule type="cellIs" dxfId="361" priority="289" stopIfTrue="1" operator="equal">
      <formula>0</formula>
    </cfRule>
    <cfRule type="cellIs" dxfId="360" priority="290" stopIfTrue="1" operator="lessThan">
      <formula>1.5</formula>
    </cfRule>
    <cfRule type="cellIs" dxfId="359" priority="291" stopIfTrue="1" operator="lessThan">
      <formula>2.5</formula>
    </cfRule>
    <cfRule type="cellIs" dxfId="358" priority="292" stopIfTrue="1" operator="greaterThanOrEqual">
      <formula>2.5</formula>
    </cfRule>
  </conditionalFormatting>
  <conditionalFormatting sqref="M6:M28">
    <cfRule type="cellIs" dxfId="357" priority="293" stopIfTrue="1" operator="equal">
      <formula>0</formula>
    </cfRule>
    <cfRule type="cellIs" dxfId="356" priority="294" stopIfTrue="1" operator="lessThan">
      <formula>1.5</formula>
    </cfRule>
    <cfRule type="cellIs" dxfId="355" priority="295" stopIfTrue="1" operator="lessThan">
      <formula>2.5</formula>
    </cfRule>
    <cfRule type="cellIs" dxfId="354" priority="296" stopIfTrue="1" operator="greaterThanOrEqual">
      <formula>2.5</formula>
    </cfRule>
  </conditionalFormatting>
  <conditionalFormatting sqref="Q6:Q28">
    <cfRule type="cellIs" dxfId="353" priority="297" stopIfTrue="1" operator="equal">
      <formula>0</formula>
    </cfRule>
    <cfRule type="cellIs" dxfId="352" priority="298" stopIfTrue="1" operator="lessThan">
      <formula>1.5</formula>
    </cfRule>
    <cfRule type="cellIs" dxfId="351" priority="299" stopIfTrue="1" operator="lessThan">
      <formula>2.5</formula>
    </cfRule>
    <cfRule type="cellIs" dxfId="350"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5" sqref="C5"/>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82" customWidth="1"/>
    <col min="5" max="6" width="33.69140625" style="82" customWidth="1"/>
    <col min="7" max="81" width="8.69140625" style="74"/>
    <col min="82" max="16384" width="8.69140625" style="12"/>
  </cols>
  <sheetData>
    <row r="1" spans="1:81" ht="21" customHeight="1" x14ac:dyDescent="0.7">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05" customHeight="1" x14ac:dyDescent="0.7">
      <c r="A5" s="88" t="s">
        <v>5</v>
      </c>
      <c r="B5" s="88" t="s">
        <v>798</v>
      </c>
      <c r="C5" s="89" t="s">
        <v>799</v>
      </c>
      <c r="D5" s="88" t="s">
        <v>800</v>
      </c>
      <c r="E5" s="88" t="s">
        <v>801</v>
      </c>
      <c r="F5" s="88" t="s">
        <v>802</v>
      </c>
    </row>
    <row r="6" spans="1:81" ht="54.6" customHeight="1" x14ac:dyDescent="0.7">
      <c r="A6" s="122">
        <f t="shared" ref="A6:A12" si="0">ROW()-5</f>
        <v>1</v>
      </c>
      <c r="B6" s="76" t="s">
        <v>803</v>
      </c>
      <c r="C6" s="114">
        <v>45786.670127314814</v>
      </c>
      <c r="D6" s="76"/>
      <c r="E6" s="76"/>
      <c r="F6" s="75"/>
    </row>
    <row r="7" spans="1:81" ht="67.8" customHeight="1" x14ac:dyDescent="0.7">
      <c r="A7" s="122">
        <f t="shared" si="0"/>
        <v>2</v>
      </c>
      <c r="B7" s="76" t="s">
        <v>804</v>
      </c>
      <c r="C7" s="114">
        <v>45786.670127314814</v>
      </c>
      <c r="D7" s="76"/>
      <c r="E7" s="76"/>
      <c r="F7" s="75"/>
    </row>
    <row r="8" spans="1:81" ht="120.6" customHeight="1" x14ac:dyDescent="0.7">
      <c r="A8" s="122">
        <f t="shared" si="0"/>
        <v>3</v>
      </c>
      <c r="B8" s="76" t="s">
        <v>805</v>
      </c>
      <c r="C8" s="114">
        <v>45786.670127314814</v>
      </c>
      <c r="D8" s="76"/>
      <c r="E8" s="76"/>
      <c r="F8" s="75"/>
    </row>
    <row r="9" spans="1:81" ht="54.6" customHeight="1" x14ac:dyDescent="0.7">
      <c r="A9" s="122">
        <f t="shared" si="0"/>
        <v>4</v>
      </c>
      <c r="B9" s="76" t="s">
        <v>806</v>
      </c>
      <c r="C9" s="114">
        <v>45786.756863425922</v>
      </c>
      <c r="D9" s="76"/>
      <c r="E9" s="76"/>
      <c r="F9" s="75"/>
    </row>
    <row r="10" spans="1:81" ht="41.4" customHeight="1" x14ac:dyDescent="0.7">
      <c r="A10" s="122">
        <f t="shared" si="0"/>
        <v>5</v>
      </c>
      <c r="B10" s="76" t="s">
        <v>807</v>
      </c>
      <c r="C10" s="114">
        <v>45786.670127314814</v>
      </c>
      <c r="D10" s="76"/>
      <c r="E10" s="76"/>
      <c r="F10" s="75"/>
    </row>
    <row r="11" spans="1:81" ht="41.4" customHeight="1" x14ac:dyDescent="0.7">
      <c r="A11" s="120">
        <f t="shared" si="0"/>
        <v>6</v>
      </c>
      <c r="B11" s="76" t="s">
        <v>808</v>
      </c>
      <c r="C11" s="114">
        <v>45786.670127314814</v>
      </c>
      <c r="D11" s="76"/>
      <c r="E11" s="76"/>
      <c r="F11" s="75"/>
    </row>
    <row r="12" spans="1:81" ht="81" customHeight="1" x14ac:dyDescent="0.7">
      <c r="A12" s="120">
        <f t="shared" si="0"/>
        <v>7</v>
      </c>
      <c r="B12" s="76" t="s">
        <v>809</v>
      </c>
      <c r="C12" s="86">
        <v>45786.670127314814</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7oWfz/cWUnypTdhu5K92u1GO5xd3A7mYZEUHeDUKpklQzyM2if6eQAsW3ut6qXmIfvrSpTGXn+hk8qZainqBWQ==" saltValue="KU2/1wTsMS2QZEvDvATIT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zoomScaleNormal="100" workbookViewId="0">
      <pane xSplit="1" ySplit="5" topLeftCell="J6" activePane="bottomRight" state="frozen"/>
      <selection pane="topRight" activeCell="D23" sqref="D23"/>
      <selection pane="bottomLeft" activeCell="D23" sqref="D23"/>
      <selection pane="bottomRight" activeCell="C13" sqref="C13"/>
    </sheetView>
  </sheetViews>
  <sheetFormatPr defaultColWidth="8.69140625" defaultRowHeight="40.049999999999997" customHeight="1" x14ac:dyDescent="0.7"/>
  <cols>
    <col min="1" max="1" width="5.69140625" style="41" customWidth="1"/>
    <col min="2" max="2" width="6.15234375" style="77" hidden="1" customWidth="1"/>
    <col min="3" max="3" width="66.69140625" style="82" customWidth="1"/>
    <col min="4" max="4" width="10.69140625" style="83" customWidth="1"/>
    <col min="5" max="5" width="16.15234375" style="82" hidden="1" customWidth="1"/>
    <col min="6" max="6" width="5.69140625" style="77" customWidth="1"/>
    <col min="7" max="7" width="8.61328125" style="83" customWidth="1"/>
    <col min="8" max="10" width="18.61328125" style="83" customWidth="1"/>
    <col min="11" max="11" width="5.61328125" style="83" customWidth="1"/>
    <col min="12" max="12" width="8.61328125" style="83" customWidth="1"/>
    <col min="13" max="17" width="12.61328125" style="83" customWidth="1"/>
    <col min="18" max="18" width="5.61328125" style="83" customWidth="1"/>
    <col min="19" max="19" width="18.61328125" style="83" customWidth="1"/>
    <col min="20" max="20" width="10.61328125" style="83" customWidth="1"/>
    <col min="21" max="21" width="5.61328125" style="83" customWidth="1"/>
    <col min="22" max="81" width="8.69140625" style="77"/>
    <col min="82" max="16384" width="8.69140625" style="41"/>
  </cols>
  <sheetData>
    <row r="1" spans="1:21" s="12" customFormat="1" ht="21" customHeight="1" x14ac:dyDescent="0.7">
      <c r="C1" s="20"/>
      <c r="D1" s="18"/>
      <c r="E1" s="20"/>
      <c r="G1" s="18"/>
      <c r="H1" s="18"/>
      <c r="I1" s="18"/>
      <c r="J1" s="18"/>
      <c r="K1" s="18"/>
      <c r="L1" s="18"/>
      <c r="M1" s="18"/>
      <c r="N1" s="18"/>
      <c r="O1" s="18"/>
      <c r="P1" s="18"/>
      <c r="Q1" s="18"/>
      <c r="R1" s="18"/>
      <c r="S1" s="18"/>
      <c r="T1" s="18"/>
      <c r="U1" s="18"/>
    </row>
    <row r="2" spans="1:21" s="12" customFormat="1" ht="21" customHeight="1" x14ac:dyDescent="0.7">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7">
      <c r="A3" s="94" t="str" cm="1">
        <f t="array" aca="1" ref="A3" ca="1">MID(CELL("filename",A1),FIND("]",CELL("filename",A1))+1,256)</f>
        <v>AddDataPoint(P&amp;M)</v>
      </c>
      <c r="B3" s="22"/>
      <c r="C3" s="94"/>
      <c r="D3" s="94"/>
      <c r="E3" s="94"/>
      <c r="F3" s="94"/>
      <c r="G3" s="94" t="s">
        <v>810</v>
      </c>
      <c r="H3" s="94"/>
      <c r="I3" s="94"/>
      <c r="J3" s="94"/>
      <c r="K3" s="94"/>
      <c r="L3" s="94" t="s">
        <v>811</v>
      </c>
      <c r="M3" s="94"/>
      <c r="N3" s="94"/>
      <c r="O3" s="94"/>
      <c r="P3" s="94"/>
      <c r="Q3" s="94"/>
      <c r="R3" s="94"/>
      <c r="S3" s="94" t="s">
        <v>812</v>
      </c>
      <c r="T3" s="94"/>
    </row>
    <row r="4" spans="1:21" s="12" customFormat="1" ht="4.95" customHeight="1" x14ac:dyDescent="0.7">
      <c r="A4" s="10"/>
      <c r="B4" s="10"/>
      <c r="C4" s="42"/>
      <c r="D4" s="24"/>
      <c r="E4" s="42"/>
      <c r="G4" s="18"/>
      <c r="H4" s="18"/>
      <c r="I4" s="18"/>
      <c r="J4" s="18"/>
      <c r="K4" s="18"/>
      <c r="L4" s="18"/>
      <c r="M4" s="18"/>
      <c r="N4" s="18"/>
      <c r="O4" s="18"/>
      <c r="P4" s="18"/>
      <c r="Q4" s="18"/>
      <c r="R4" s="18"/>
      <c r="S4" s="18"/>
      <c r="T4" s="18"/>
      <c r="U4" s="18"/>
    </row>
    <row r="5" spans="1:21" s="85" customFormat="1" ht="43.2" customHeight="1" thickBot="1" x14ac:dyDescent="0.75">
      <c r="A5" s="70" t="s">
        <v>5</v>
      </c>
      <c r="B5" s="71" t="s">
        <v>813</v>
      </c>
      <c r="C5" s="71" t="s">
        <v>814</v>
      </c>
      <c r="D5" s="71" t="s">
        <v>760</v>
      </c>
      <c r="E5" s="72" t="s">
        <v>815</v>
      </c>
      <c r="G5" s="189" t="s">
        <v>816</v>
      </c>
      <c r="H5" s="190" t="s">
        <v>817</v>
      </c>
      <c r="I5" s="190" t="s">
        <v>818</v>
      </c>
      <c r="J5" s="191" t="s">
        <v>819</v>
      </c>
      <c r="L5" s="192" t="s">
        <v>820</v>
      </c>
      <c r="M5" s="193" t="s">
        <v>821</v>
      </c>
      <c r="N5" s="193" t="s">
        <v>822</v>
      </c>
      <c r="O5" s="193" t="s">
        <v>823</v>
      </c>
      <c r="P5" s="194" t="s">
        <v>824</v>
      </c>
      <c r="Q5" s="195" t="s">
        <v>825</v>
      </c>
      <c r="S5" s="189" t="s">
        <v>826</v>
      </c>
      <c r="T5" s="191" t="s">
        <v>827</v>
      </c>
    </row>
    <row r="6" spans="1:21" ht="28.95" customHeight="1" x14ac:dyDescent="0.7">
      <c r="A6" s="120">
        <f>IF($C6="","",SUBTOTAL(3,$C$6:$C6)*1)</f>
        <v>1</v>
      </c>
      <c r="B6" s="237"/>
      <c r="C6" s="238" t="s">
        <v>828</v>
      </c>
      <c r="D6" s="160" t="s">
        <v>829</v>
      </c>
      <c r="E6" s="239" t="s">
        <v>830</v>
      </c>
      <c r="G6" s="240">
        <v>2025</v>
      </c>
      <c r="H6" s="241">
        <v>0</v>
      </c>
      <c r="I6" s="188"/>
      <c r="J6" s="242"/>
      <c r="L6" s="243" t="s">
        <v>831</v>
      </c>
      <c r="M6" s="241" t="s">
        <v>832</v>
      </c>
      <c r="N6" s="188" t="s">
        <v>833</v>
      </c>
      <c r="O6" s="188" t="s">
        <v>834</v>
      </c>
      <c r="P6" s="188" t="s">
        <v>835</v>
      </c>
      <c r="Q6" s="188" t="s">
        <v>836</v>
      </c>
      <c r="S6" s="244" t="s">
        <v>831</v>
      </c>
      <c r="T6" s="245">
        <v>19</v>
      </c>
    </row>
    <row r="7" spans="1:21" ht="28.95" customHeight="1" x14ac:dyDescent="0.7">
      <c r="A7" s="120">
        <f>IF($C7="","",SUBTOTAL(3,$C$6:$C7)*1)</f>
        <v>2</v>
      </c>
      <c r="B7" s="237"/>
      <c r="C7" s="279" t="s">
        <v>837</v>
      </c>
      <c r="D7" s="160" t="s">
        <v>838</v>
      </c>
      <c r="E7" s="239" t="s">
        <v>839</v>
      </c>
      <c r="G7" s="240">
        <v>2026</v>
      </c>
      <c r="H7" s="241">
        <v>1250</v>
      </c>
      <c r="I7" s="188">
        <v>1250</v>
      </c>
      <c r="J7" s="242"/>
      <c r="L7" s="243" t="s">
        <v>840</v>
      </c>
      <c r="M7" s="241" t="s">
        <v>841</v>
      </c>
      <c r="N7" s="188" t="s">
        <v>842</v>
      </c>
      <c r="O7" s="188" t="s">
        <v>843</v>
      </c>
      <c r="P7" s="188" t="s">
        <v>844</v>
      </c>
      <c r="Q7" s="188" t="s">
        <v>845</v>
      </c>
      <c r="S7" s="240" t="s">
        <v>840</v>
      </c>
      <c r="T7" s="246">
        <v>16</v>
      </c>
    </row>
    <row r="8" spans="1:21" ht="28.95" customHeight="1" x14ac:dyDescent="0.7">
      <c r="A8" s="120">
        <f>IF($C8="","",SUBTOTAL(3,$C$6:$C8)*1)</f>
        <v>3</v>
      </c>
      <c r="B8" s="237"/>
      <c r="C8" s="279" t="s">
        <v>846</v>
      </c>
      <c r="D8" s="160" t="s">
        <v>847</v>
      </c>
      <c r="E8" s="239" t="s">
        <v>830</v>
      </c>
      <c r="G8" s="240">
        <v>2027</v>
      </c>
      <c r="H8" s="241">
        <v>2000</v>
      </c>
      <c r="I8" s="188">
        <v>1550</v>
      </c>
      <c r="J8" s="242">
        <v>1550</v>
      </c>
      <c r="L8" s="243" t="s">
        <v>848</v>
      </c>
      <c r="M8" s="241" t="s">
        <v>849</v>
      </c>
      <c r="N8" s="188" t="s">
        <v>850</v>
      </c>
      <c r="O8" s="188" t="s">
        <v>834</v>
      </c>
      <c r="P8" s="188" t="s">
        <v>835</v>
      </c>
      <c r="Q8" s="188" t="s">
        <v>851</v>
      </c>
      <c r="S8" s="244" t="s">
        <v>848</v>
      </c>
      <c r="T8" s="245">
        <v>12</v>
      </c>
    </row>
    <row r="9" spans="1:21" ht="28.95" customHeight="1" x14ac:dyDescent="0.7">
      <c r="A9" s="120">
        <f>IF($C9="","",SUBTOTAL(3,$C$6:$C9)*1)</f>
        <v>4</v>
      </c>
      <c r="B9" s="237"/>
      <c r="C9" s="279" t="s">
        <v>852</v>
      </c>
      <c r="D9" s="160" t="s">
        <v>853</v>
      </c>
      <c r="E9" s="239" t="s">
        <v>854</v>
      </c>
      <c r="G9" s="240">
        <v>2028</v>
      </c>
      <c r="H9" s="241">
        <v>3100</v>
      </c>
      <c r="I9" s="188"/>
      <c r="J9" s="242">
        <v>2200</v>
      </c>
      <c r="L9" s="243" t="s">
        <v>855</v>
      </c>
      <c r="M9" s="241" t="s">
        <v>856</v>
      </c>
      <c r="N9" s="188" t="s">
        <v>857</v>
      </c>
      <c r="O9" s="188" t="s">
        <v>843</v>
      </c>
      <c r="P9" s="188" t="s">
        <v>858</v>
      </c>
      <c r="Q9" s="188" t="s">
        <v>859</v>
      </c>
      <c r="S9" s="240" t="s">
        <v>855</v>
      </c>
      <c r="T9" s="246">
        <v>7</v>
      </c>
    </row>
    <row r="10" spans="1:21" ht="28.95" customHeight="1" x14ac:dyDescent="0.7">
      <c r="A10" s="120">
        <f>IF($C10="","",SUBTOTAL(3,$C$6:$C10)*1)</f>
        <v>5</v>
      </c>
      <c r="B10" s="237"/>
      <c r="C10" s="238" t="s">
        <v>860</v>
      </c>
      <c r="D10" s="160" t="s">
        <v>861</v>
      </c>
      <c r="E10" s="239" t="s">
        <v>854</v>
      </c>
      <c r="G10" s="240">
        <v>2029</v>
      </c>
      <c r="H10" s="241"/>
      <c r="I10" s="188"/>
      <c r="J10" s="242">
        <v>3100</v>
      </c>
      <c r="L10" s="243" t="s">
        <v>862</v>
      </c>
      <c r="M10" s="241" t="s">
        <v>863</v>
      </c>
      <c r="N10" s="188" t="s">
        <v>864</v>
      </c>
      <c r="O10" s="188" t="s">
        <v>865</v>
      </c>
      <c r="P10" s="188" t="s">
        <v>844</v>
      </c>
      <c r="Q10" s="188" t="s">
        <v>866</v>
      </c>
      <c r="S10" s="244" t="s">
        <v>862</v>
      </c>
      <c r="T10" s="245">
        <v>5</v>
      </c>
    </row>
    <row r="11" spans="1:21" ht="28.95" customHeight="1" x14ac:dyDescent="0.7">
      <c r="A11" s="120">
        <f>IF($C11="","",SUBTOTAL(3,$C$6:$C11)*1)</f>
        <v>6</v>
      </c>
      <c r="B11" s="237"/>
      <c r="C11" s="238" t="s">
        <v>867</v>
      </c>
      <c r="D11" s="160" t="s">
        <v>868</v>
      </c>
      <c r="E11" s="239" t="s">
        <v>854</v>
      </c>
      <c r="L11" s="243" t="s">
        <v>869</v>
      </c>
      <c r="M11" s="241" t="s">
        <v>870</v>
      </c>
      <c r="N11" s="188" t="s">
        <v>871</v>
      </c>
      <c r="O11" s="188" t="s">
        <v>843</v>
      </c>
      <c r="P11" s="188" t="s">
        <v>835</v>
      </c>
      <c r="Q11" s="188" t="s">
        <v>872</v>
      </c>
    </row>
    <row r="12" spans="1:21" ht="56.55" customHeight="1" x14ac:dyDescent="0.7">
      <c r="A12" s="120">
        <f>IF($C12="","",SUBTOTAL(3,$C$6:$C12)*1)</f>
        <v>7</v>
      </c>
      <c r="B12" s="237"/>
      <c r="C12" s="238" t="s">
        <v>873</v>
      </c>
      <c r="D12" s="160" t="s">
        <v>767</v>
      </c>
      <c r="E12" s="239" t="s">
        <v>839</v>
      </c>
      <c r="L12" s="243" t="s">
        <v>874</v>
      </c>
      <c r="M12" s="241" t="s">
        <v>875</v>
      </c>
      <c r="N12" s="188" t="s">
        <v>876</v>
      </c>
      <c r="O12" s="188" t="s">
        <v>865</v>
      </c>
      <c r="P12" s="188" t="s">
        <v>858</v>
      </c>
      <c r="Q12" s="188" t="s">
        <v>877</v>
      </c>
    </row>
    <row r="13" spans="1:21" ht="28.95" customHeight="1" x14ac:dyDescent="0.7">
      <c r="A13" s="120">
        <f>IF($C13="","",SUBTOTAL(3,$C$6:$C13)*1)</f>
        <v>8</v>
      </c>
      <c r="B13" s="237"/>
      <c r="C13" s="238" t="s">
        <v>878</v>
      </c>
      <c r="D13" s="160" t="s">
        <v>879</v>
      </c>
      <c r="E13" s="239" t="s">
        <v>839</v>
      </c>
      <c r="L13" s="243" t="s">
        <v>880</v>
      </c>
      <c r="M13" s="241" t="s">
        <v>881</v>
      </c>
      <c r="N13" s="188" t="s">
        <v>882</v>
      </c>
      <c r="O13" s="188" t="s">
        <v>834</v>
      </c>
      <c r="P13" s="188" t="s">
        <v>858</v>
      </c>
      <c r="Q13" s="188" t="s">
        <v>883</v>
      </c>
    </row>
    <row r="14" spans="1:21" ht="28.95" customHeight="1" x14ac:dyDescent="0.7">
      <c r="A14" s="120">
        <f>IF($C14="","",SUBTOTAL(3,$C$6:$C14)*1)</f>
        <v>9</v>
      </c>
      <c r="B14" s="237"/>
      <c r="C14" s="279" t="s">
        <v>884</v>
      </c>
      <c r="D14" s="160" t="s">
        <v>885</v>
      </c>
      <c r="E14" s="239" t="s">
        <v>839</v>
      </c>
      <c r="L14" s="243" t="s">
        <v>886</v>
      </c>
      <c r="M14" s="241" t="s">
        <v>887</v>
      </c>
      <c r="N14" s="188" t="s">
        <v>888</v>
      </c>
      <c r="O14" s="188" t="s">
        <v>834</v>
      </c>
      <c r="P14" s="188" t="s">
        <v>858</v>
      </c>
      <c r="Q14" s="188" t="s">
        <v>889</v>
      </c>
    </row>
    <row r="15" spans="1:21" ht="28.95" customHeight="1" x14ac:dyDescent="0.7">
      <c r="A15" s="120">
        <f>IF($C15="","",SUBTOTAL(3,$C$6:$C15)*1)</f>
        <v>10</v>
      </c>
      <c r="B15" s="237"/>
      <c r="C15" s="238" t="s">
        <v>890</v>
      </c>
      <c r="D15" s="160" t="s">
        <v>891</v>
      </c>
      <c r="E15" s="239" t="s">
        <v>839</v>
      </c>
      <c r="L15" s="243" t="s">
        <v>892</v>
      </c>
      <c r="M15" s="241" t="s">
        <v>893</v>
      </c>
      <c r="N15" s="188" t="s">
        <v>894</v>
      </c>
      <c r="O15" s="188" t="s">
        <v>843</v>
      </c>
      <c r="P15" s="188" t="s">
        <v>844</v>
      </c>
      <c r="Q15" s="188" t="s">
        <v>895</v>
      </c>
    </row>
    <row r="16" spans="1:21" ht="28.95" customHeight="1" x14ac:dyDescent="0.7">
      <c r="A16" s="120">
        <f>IF($C16="","",SUBTOTAL(3,$C$6:$C16)*1)</f>
        <v>11</v>
      </c>
      <c r="B16" s="237"/>
      <c r="C16" s="238" t="s">
        <v>896</v>
      </c>
      <c r="D16" s="160" t="s">
        <v>897</v>
      </c>
      <c r="E16" s="239" t="s">
        <v>839</v>
      </c>
    </row>
    <row r="17" spans="1:5" ht="28.95" customHeight="1" x14ac:dyDescent="0.7">
      <c r="A17" s="120">
        <f>IF($C17="","",SUBTOTAL(3,$C$6:$C17)*1)</f>
        <v>12</v>
      </c>
      <c r="B17" s="237"/>
      <c r="C17" s="238" t="s">
        <v>898</v>
      </c>
      <c r="D17" s="160" t="s">
        <v>899</v>
      </c>
      <c r="E17" s="239" t="s">
        <v>839</v>
      </c>
    </row>
    <row r="18" spans="1:5" ht="28.95" customHeight="1" x14ac:dyDescent="0.7">
      <c r="A18" s="120">
        <f>IF($C18="","",SUBTOTAL(3,$C$6:$C18)*1)</f>
        <v>13</v>
      </c>
      <c r="B18" s="237"/>
      <c r="C18" s="238" t="s">
        <v>900</v>
      </c>
      <c r="D18" s="160" t="s">
        <v>901</v>
      </c>
      <c r="E18" s="239" t="s">
        <v>839</v>
      </c>
    </row>
    <row r="19" spans="1:5" ht="28.95" customHeight="1" x14ac:dyDescent="0.7">
      <c r="A19" s="120">
        <f>IF($C19="","",SUBTOTAL(3,$C$6:$C19)*1)</f>
        <v>14</v>
      </c>
      <c r="B19" s="237"/>
      <c r="C19" s="238" t="s">
        <v>902</v>
      </c>
      <c r="D19" s="160" t="s">
        <v>766</v>
      </c>
      <c r="E19" s="239" t="s">
        <v>839</v>
      </c>
    </row>
    <row r="20" spans="1:5" ht="28.95" customHeight="1" x14ac:dyDescent="0.7">
      <c r="A20" s="120">
        <f>IF($C20="","",SUBTOTAL(3,$C$6:$C20)*1)</f>
        <v>15</v>
      </c>
      <c r="B20" s="237"/>
      <c r="C20" s="238" t="s">
        <v>903</v>
      </c>
      <c r="D20" s="160" t="s">
        <v>904</v>
      </c>
      <c r="E20" s="239" t="s">
        <v>905</v>
      </c>
    </row>
    <row r="21" spans="1:5" ht="28.95" customHeight="1" x14ac:dyDescent="0.7">
      <c r="A21" s="120">
        <f>IF($C21="","",SUBTOTAL(3,$C$6:$C21)*1)</f>
        <v>16</v>
      </c>
      <c r="B21" s="237"/>
      <c r="C21" s="238" t="s">
        <v>906</v>
      </c>
      <c r="D21" s="160" t="s">
        <v>907</v>
      </c>
      <c r="E21" s="239" t="s">
        <v>839</v>
      </c>
    </row>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sheetView>
  </sheetViews>
  <sheetFormatPr defaultColWidth="9.15234375" defaultRowHeight="20.399999999999999" x14ac:dyDescent="0.7"/>
  <cols>
    <col min="1" max="1" width="33.69140625" style="13" customWidth="1"/>
    <col min="2" max="2" width="33.69140625" style="22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16.61328125" style="216" hidden="1" customWidth="1"/>
    <col min="10" max="81" width="9.15234375" style="207"/>
    <col min="82" max="16384" width="9.15234375" style="53"/>
  </cols>
  <sheetData>
    <row r="1" spans="1:81" ht="21" customHeight="1" x14ac:dyDescent="0.7">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6.55" customHeight="1" x14ac:dyDescent="0.7">
      <c r="A6" s="338" t="s">
        <v>908</v>
      </c>
      <c r="B6" s="218" t="s">
        <v>909</v>
      </c>
      <c r="C6" s="161">
        <v>0.2</v>
      </c>
      <c r="D6" s="141"/>
      <c r="E6" s="62"/>
      <c r="F6" s="222"/>
      <c r="G6" s="62"/>
      <c r="H6" s="222"/>
      <c r="I6" s="337" t="s">
        <v>910</v>
      </c>
    </row>
    <row r="7" spans="1:81" ht="56.55" customHeight="1" x14ac:dyDescent="0.7">
      <c r="A7" s="339"/>
      <c r="B7" s="218" t="s">
        <v>911</v>
      </c>
      <c r="C7" s="161">
        <v>0.6</v>
      </c>
      <c r="D7" s="141"/>
      <c r="E7" s="62"/>
      <c r="F7" s="222"/>
      <c r="G7" s="62"/>
      <c r="H7" s="222"/>
      <c r="I7" s="337"/>
    </row>
    <row r="8" spans="1:81" ht="56.55" customHeight="1" x14ac:dyDescent="0.7">
      <c r="A8" s="187" t="s">
        <v>912</v>
      </c>
      <c r="B8" s="218" t="s">
        <v>913</v>
      </c>
      <c r="C8" s="161" t="s">
        <v>724</v>
      </c>
      <c r="D8" s="141"/>
      <c r="E8" s="62"/>
      <c r="F8" s="222"/>
      <c r="G8" s="62"/>
      <c r="H8" s="222"/>
      <c r="I8" s="220" t="s">
        <v>914</v>
      </c>
    </row>
    <row r="9" spans="1:81" ht="56.55" customHeight="1" x14ac:dyDescent="0.7">
      <c r="A9" s="187" t="s">
        <v>915</v>
      </c>
      <c r="B9" s="218" t="s">
        <v>916</v>
      </c>
      <c r="C9" s="161" t="s">
        <v>724</v>
      </c>
      <c r="D9" s="141"/>
      <c r="E9" s="62"/>
      <c r="F9" s="222"/>
      <c r="G9" s="62"/>
      <c r="H9" s="222"/>
      <c r="I9" s="220" t="s">
        <v>917</v>
      </c>
    </row>
    <row r="10" spans="1:81" ht="28.95" customHeight="1" x14ac:dyDescent="0.7">
      <c r="A10" s="187" t="s">
        <v>918</v>
      </c>
      <c r="B10" s="218" t="s">
        <v>919</v>
      </c>
      <c r="C10" s="161" t="s">
        <v>739</v>
      </c>
      <c r="D10" s="141"/>
      <c r="E10" s="62"/>
      <c r="F10" s="222"/>
      <c r="G10" s="62"/>
      <c r="H10" s="222"/>
      <c r="I10" s="220" t="s">
        <v>920</v>
      </c>
    </row>
    <row r="11" spans="1:81" ht="42.6" customHeight="1" x14ac:dyDescent="0.7">
      <c r="A11" s="338" t="s">
        <v>921</v>
      </c>
      <c r="B11" s="218" t="s">
        <v>922</v>
      </c>
      <c r="C11" s="161">
        <v>16</v>
      </c>
      <c r="D11" s="141"/>
      <c r="E11" s="62"/>
      <c r="F11" s="222"/>
      <c r="G11" s="62"/>
      <c r="H11" s="222"/>
      <c r="I11" s="337" t="s">
        <v>923</v>
      </c>
    </row>
    <row r="12" spans="1:81" ht="28.95" customHeight="1" x14ac:dyDescent="0.7">
      <c r="A12" s="339"/>
      <c r="B12" s="218" t="s">
        <v>924</v>
      </c>
      <c r="C12" s="161">
        <v>14</v>
      </c>
      <c r="D12" s="141"/>
      <c r="E12" s="62"/>
      <c r="F12" s="222"/>
      <c r="G12" s="62"/>
      <c r="H12" s="222"/>
      <c r="I12" s="337"/>
    </row>
    <row r="13" spans="1:81" ht="28.95" customHeight="1" x14ac:dyDescent="0.7">
      <c r="A13" s="338" t="s">
        <v>925</v>
      </c>
      <c r="B13" s="218" t="s">
        <v>926</v>
      </c>
      <c r="C13" s="161">
        <v>2.5</v>
      </c>
      <c r="D13" s="141"/>
      <c r="E13" s="62"/>
      <c r="F13" s="222"/>
      <c r="G13" s="62"/>
      <c r="H13" s="222"/>
      <c r="I13" s="337" t="s">
        <v>927</v>
      </c>
    </row>
    <row r="14" spans="1:81" ht="28.95" customHeight="1" x14ac:dyDescent="0.7">
      <c r="A14" s="339"/>
      <c r="B14" s="218" t="s">
        <v>928</v>
      </c>
      <c r="C14" s="161">
        <v>2.4</v>
      </c>
      <c r="D14" s="141"/>
      <c r="E14" s="62"/>
      <c r="F14" s="222"/>
      <c r="G14" s="62"/>
      <c r="H14" s="222"/>
      <c r="I14" s="337"/>
    </row>
    <row r="15" spans="1:81" ht="28.95" customHeight="1" x14ac:dyDescent="0.7">
      <c r="A15" s="338" t="s">
        <v>929</v>
      </c>
      <c r="B15" s="218" t="s">
        <v>930</v>
      </c>
      <c r="C15" s="161">
        <v>1000</v>
      </c>
      <c r="D15" s="141"/>
      <c r="E15" s="62"/>
      <c r="F15" s="222"/>
      <c r="G15" s="62"/>
      <c r="H15" s="222"/>
      <c r="I15" s="337" t="s">
        <v>931</v>
      </c>
    </row>
    <row r="16" spans="1:81" ht="28.95" customHeight="1" x14ac:dyDescent="0.7">
      <c r="A16" s="339"/>
      <c r="B16" s="218" t="s">
        <v>932</v>
      </c>
      <c r="C16" s="161">
        <v>950</v>
      </c>
      <c r="D16" s="141"/>
      <c r="E16" s="62"/>
      <c r="F16" s="222"/>
      <c r="G16" s="62"/>
      <c r="H16" s="222"/>
      <c r="I16" s="337"/>
    </row>
    <row r="17" spans="1:9" ht="42.6" customHeight="1" x14ac:dyDescent="0.7">
      <c r="A17" s="338" t="s">
        <v>933</v>
      </c>
      <c r="B17" s="218" t="s">
        <v>934</v>
      </c>
      <c r="C17" s="161">
        <v>0.01</v>
      </c>
      <c r="D17" s="141"/>
      <c r="E17" s="62"/>
      <c r="F17" s="222"/>
      <c r="G17" s="62"/>
      <c r="H17" s="222"/>
      <c r="I17" s="337" t="s">
        <v>935</v>
      </c>
    </row>
    <row r="18" spans="1:9" ht="28.95" customHeight="1" x14ac:dyDescent="0.7">
      <c r="A18" s="339"/>
      <c r="B18" s="218" t="s">
        <v>936</v>
      </c>
      <c r="C18" s="161">
        <v>0.03</v>
      </c>
      <c r="D18" s="141"/>
      <c r="E18" s="62"/>
      <c r="F18" s="222"/>
      <c r="G18" s="62"/>
      <c r="H18" s="222"/>
      <c r="I18" s="337"/>
    </row>
    <row r="19" spans="1:9" ht="42.6" customHeight="1" x14ac:dyDescent="0.7">
      <c r="A19" s="187" t="s">
        <v>937</v>
      </c>
      <c r="B19" s="218" t="s">
        <v>938</v>
      </c>
      <c r="C19" s="161" t="s">
        <v>724</v>
      </c>
      <c r="D19" s="141"/>
      <c r="E19" s="62"/>
      <c r="F19" s="222"/>
      <c r="G19" s="62"/>
      <c r="H19" s="222"/>
      <c r="I19" s="220" t="s">
        <v>939</v>
      </c>
    </row>
    <row r="20" spans="1:9" ht="70.2" customHeight="1" x14ac:dyDescent="0.7">
      <c r="A20" s="187" t="s">
        <v>940</v>
      </c>
      <c r="B20" s="218" t="s">
        <v>941</v>
      </c>
      <c r="C20" s="161" t="s">
        <v>724</v>
      </c>
      <c r="D20" s="141"/>
      <c r="E20" s="62"/>
      <c r="F20" s="222"/>
      <c r="G20" s="62"/>
      <c r="H20" s="222"/>
      <c r="I20" s="220" t="s">
        <v>942</v>
      </c>
    </row>
    <row r="21" spans="1:9" ht="56.55" customHeight="1" x14ac:dyDescent="0.7">
      <c r="A21" s="338" t="s">
        <v>943</v>
      </c>
      <c r="B21" s="218" t="s">
        <v>944</v>
      </c>
      <c r="C21" s="161" t="s">
        <v>724</v>
      </c>
      <c r="D21" s="141"/>
      <c r="E21" s="62"/>
      <c r="F21" s="222"/>
      <c r="G21" s="62"/>
      <c r="H21" s="222"/>
      <c r="I21" s="337" t="s">
        <v>945</v>
      </c>
    </row>
    <row r="22" spans="1:9" ht="42.6" customHeight="1" x14ac:dyDescent="0.7">
      <c r="A22" s="339"/>
      <c r="B22" s="218" t="s">
        <v>946</v>
      </c>
      <c r="C22" s="161" t="s">
        <v>724</v>
      </c>
      <c r="D22" s="141"/>
      <c r="E22" s="62"/>
      <c r="F22" s="222"/>
      <c r="G22" s="62"/>
      <c r="H22" s="222"/>
      <c r="I22" s="337"/>
    </row>
    <row r="23" spans="1:9" ht="42.6" customHeight="1" x14ac:dyDescent="0.7">
      <c r="A23" s="187" t="s">
        <v>947</v>
      </c>
      <c r="B23" s="218" t="s">
        <v>948</v>
      </c>
      <c r="C23" s="161" t="s">
        <v>724</v>
      </c>
      <c r="D23" s="141"/>
      <c r="E23" s="62"/>
      <c r="F23" s="222"/>
      <c r="G23" s="62"/>
      <c r="H23" s="222"/>
      <c r="I23" s="220" t="s">
        <v>949</v>
      </c>
    </row>
    <row r="24" spans="1:9" ht="56.55" customHeight="1" x14ac:dyDescent="0.7">
      <c r="A24" s="187" t="s">
        <v>950</v>
      </c>
      <c r="B24" s="218" t="s">
        <v>951</v>
      </c>
      <c r="C24" s="161" t="s">
        <v>724</v>
      </c>
      <c r="D24" s="141"/>
      <c r="E24" s="62"/>
      <c r="F24" s="222"/>
      <c r="G24" s="62"/>
      <c r="H24" s="222"/>
      <c r="I24" s="220" t="s">
        <v>952</v>
      </c>
    </row>
    <row r="25" spans="1:9" ht="70.2" customHeight="1" x14ac:dyDescent="0.7">
      <c r="A25" s="187" t="s">
        <v>953</v>
      </c>
      <c r="B25" s="218" t="s">
        <v>954</v>
      </c>
      <c r="C25" s="161">
        <v>0.1</v>
      </c>
      <c r="D25" s="141"/>
      <c r="E25" s="62"/>
      <c r="F25" s="222"/>
      <c r="G25" s="62"/>
      <c r="H25" s="222"/>
      <c r="I25" s="220" t="s">
        <v>955</v>
      </c>
    </row>
    <row r="26" spans="1:9" ht="28.95" customHeight="1" x14ac:dyDescent="0.7">
      <c r="A26" s="338" t="s">
        <v>956</v>
      </c>
      <c r="B26" s="218" t="s">
        <v>957</v>
      </c>
      <c r="C26" s="161">
        <v>40</v>
      </c>
      <c r="D26" s="141"/>
      <c r="E26" s="62"/>
      <c r="F26" s="222"/>
      <c r="G26" s="62"/>
      <c r="H26" s="222"/>
      <c r="I26" s="337" t="s">
        <v>958</v>
      </c>
    </row>
    <row r="27" spans="1:9" ht="28.95" customHeight="1" x14ac:dyDescent="0.7">
      <c r="A27" s="339"/>
      <c r="B27" s="218" t="s">
        <v>959</v>
      </c>
      <c r="C27" s="161">
        <v>34</v>
      </c>
      <c r="D27" s="141"/>
      <c r="E27" s="62"/>
      <c r="F27" s="222"/>
      <c r="G27" s="62"/>
      <c r="H27" s="222"/>
      <c r="I27" s="337"/>
    </row>
    <row r="28" spans="1:9" ht="42.6" customHeight="1" x14ac:dyDescent="0.7">
      <c r="A28" s="187" t="s">
        <v>960</v>
      </c>
      <c r="B28" s="218" t="s">
        <v>961</v>
      </c>
      <c r="C28" s="161">
        <v>14</v>
      </c>
      <c r="D28" s="141"/>
      <c r="E28" s="62"/>
      <c r="F28" s="222"/>
      <c r="G28" s="62"/>
      <c r="H28" s="222"/>
      <c r="I28" s="220" t="s">
        <v>962</v>
      </c>
    </row>
    <row r="29" spans="1:9" ht="56.55" customHeight="1" x14ac:dyDescent="0.7">
      <c r="A29" s="187" t="s">
        <v>963</v>
      </c>
      <c r="B29" s="218" t="s">
        <v>964</v>
      </c>
      <c r="C29" s="161" t="s">
        <v>724</v>
      </c>
      <c r="D29" s="141"/>
      <c r="E29" s="62"/>
      <c r="F29" s="222"/>
      <c r="G29" s="62"/>
      <c r="H29" s="222"/>
      <c r="I29" s="220" t="s">
        <v>965</v>
      </c>
    </row>
    <row r="30" spans="1:9" ht="42.6" customHeight="1" x14ac:dyDescent="0.7">
      <c r="A30" s="187" t="s">
        <v>966</v>
      </c>
      <c r="B30" s="218" t="s">
        <v>967</v>
      </c>
      <c r="C30" s="161" t="s">
        <v>724</v>
      </c>
      <c r="D30" s="141"/>
      <c r="E30" s="62"/>
      <c r="F30" s="222"/>
      <c r="G30" s="62"/>
      <c r="H30" s="222"/>
      <c r="I30" s="220" t="s">
        <v>968</v>
      </c>
    </row>
    <row r="31" spans="1:9" ht="56.55" customHeight="1" x14ac:dyDescent="0.7">
      <c r="A31" s="187" t="s">
        <v>969</v>
      </c>
      <c r="B31" s="218" t="s">
        <v>970</v>
      </c>
      <c r="C31" s="161" t="s">
        <v>739</v>
      </c>
      <c r="D31" s="141"/>
      <c r="E31" s="62"/>
      <c r="F31" s="222"/>
      <c r="G31" s="62"/>
      <c r="H31" s="222"/>
      <c r="I31" s="220" t="s">
        <v>971</v>
      </c>
    </row>
    <row r="32" spans="1:9" ht="56.55" customHeight="1" x14ac:dyDescent="0.7">
      <c r="A32" s="187" t="s">
        <v>972</v>
      </c>
      <c r="B32" s="218" t="s">
        <v>973</v>
      </c>
      <c r="C32" s="161" t="s">
        <v>724</v>
      </c>
      <c r="D32" s="141"/>
      <c r="E32" s="62"/>
      <c r="F32" s="222"/>
      <c r="G32" s="62"/>
      <c r="H32" s="222"/>
      <c r="I32" s="220" t="s">
        <v>974</v>
      </c>
    </row>
    <row r="33" spans="1:9" ht="42.6" customHeight="1" x14ac:dyDescent="0.7">
      <c r="A33" s="187" t="s">
        <v>975</v>
      </c>
      <c r="B33" s="218" t="s">
        <v>976</v>
      </c>
      <c r="C33" s="161">
        <v>0.15</v>
      </c>
      <c r="D33" s="141"/>
      <c r="E33" s="62"/>
      <c r="F33" s="222"/>
      <c r="G33" s="62"/>
      <c r="H33" s="222"/>
      <c r="I33" s="220" t="s">
        <v>977</v>
      </c>
    </row>
    <row r="34" spans="1:9" ht="42.6" customHeight="1" x14ac:dyDescent="0.7">
      <c r="A34" s="338" t="s">
        <v>978</v>
      </c>
      <c r="B34" s="218" t="s">
        <v>979</v>
      </c>
      <c r="C34" s="161">
        <v>21</v>
      </c>
      <c r="D34" s="141"/>
      <c r="E34" s="62"/>
      <c r="F34" s="222"/>
      <c r="G34" s="62"/>
      <c r="H34" s="222"/>
      <c r="I34" s="337" t="s">
        <v>980</v>
      </c>
    </row>
    <row r="35" spans="1:9" ht="28.95" customHeight="1" x14ac:dyDescent="0.7">
      <c r="A35" s="339"/>
      <c r="B35" s="218" t="s">
        <v>981</v>
      </c>
      <c r="C35" s="161">
        <v>22</v>
      </c>
      <c r="D35" s="141"/>
      <c r="E35" s="62"/>
      <c r="F35" s="222"/>
      <c r="G35" s="62"/>
      <c r="H35" s="222"/>
      <c r="I35" s="337"/>
    </row>
    <row r="36" spans="1:9" ht="42.6" customHeight="1" x14ac:dyDescent="0.7">
      <c r="A36" s="187" t="s">
        <v>982</v>
      </c>
      <c r="B36" s="218" t="s">
        <v>983</v>
      </c>
      <c r="C36" s="161" t="s">
        <v>724</v>
      </c>
      <c r="D36" s="141"/>
      <c r="E36" s="62"/>
      <c r="F36" s="222"/>
      <c r="G36" s="62"/>
      <c r="H36" s="222"/>
      <c r="I36" s="220" t="s">
        <v>984</v>
      </c>
    </row>
    <row r="37" spans="1:9" ht="56.55" customHeight="1" x14ac:dyDescent="0.7">
      <c r="A37" s="338" t="s">
        <v>985</v>
      </c>
      <c r="B37" s="218" t="s">
        <v>986</v>
      </c>
      <c r="C37" s="161">
        <v>0.2</v>
      </c>
      <c r="D37" s="141"/>
      <c r="E37" s="62"/>
      <c r="F37" s="222"/>
      <c r="G37" s="62"/>
      <c r="H37" s="222"/>
      <c r="I37" s="337" t="s">
        <v>987</v>
      </c>
    </row>
    <row r="38" spans="1:9" ht="42.6" customHeight="1" x14ac:dyDescent="0.7">
      <c r="A38" s="339"/>
      <c r="B38" s="218" t="s">
        <v>988</v>
      </c>
      <c r="C38" s="161">
        <v>0.63</v>
      </c>
      <c r="D38" s="141"/>
      <c r="E38" s="62"/>
      <c r="F38" s="222"/>
      <c r="G38" s="62"/>
      <c r="H38" s="222"/>
      <c r="I38" s="337"/>
    </row>
    <row r="39" spans="1:9" ht="70.2" customHeight="1" x14ac:dyDescent="0.7">
      <c r="A39" s="187" t="s">
        <v>989</v>
      </c>
      <c r="B39" s="218" t="s">
        <v>990</v>
      </c>
      <c r="C39" s="161" t="s">
        <v>724</v>
      </c>
      <c r="D39" s="141"/>
      <c r="E39" s="62"/>
      <c r="F39" s="222"/>
      <c r="G39" s="62"/>
      <c r="H39" s="222"/>
      <c r="I39" s="220" t="s">
        <v>991</v>
      </c>
    </row>
    <row r="40" spans="1:9" ht="28.95" customHeight="1" x14ac:dyDescent="0.7">
      <c r="A40" s="338" t="s">
        <v>992</v>
      </c>
      <c r="B40" s="218" t="s">
        <v>993</v>
      </c>
      <c r="C40" s="161">
        <v>21</v>
      </c>
      <c r="D40" s="141"/>
      <c r="E40" s="62"/>
      <c r="F40" s="222"/>
      <c r="G40" s="62"/>
      <c r="H40" s="222"/>
      <c r="I40" s="337" t="s">
        <v>994</v>
      </c>
    </row>
    <row r="41" spans="1:9" ht="28.95" customHeight="1" x14ac:dyDescent="0.7">
      <c r="A41" s="339"/>
      <c r="B41" s="218" t="s">
        <v>995</v>
      </c>
      <c r="C41" s="161">
        <v>4</v>
      </c>
      <c r="D41" s="141"/>
      <c r="E41" s="62"/>
      <c r="F41" s="222"/>
      <c r="G41" s="62"/>
      <c r="H41" s="222"/>
      <c r="I41" s="337"/>
    </row>
    <row r="42" spans="1:9" ht="42.6" customHeight="1" x14ac:dyDescent="0.7">
      <c r="A42" s="338" t="s">
        <v>996</v>
      </c>
      <c r="B42" s="218" t="s">
        <v>997</v>
      </c>
      <c r="C42" s="161">
        <v>1</v>
      </c>
      <c r="D42" s="141"/>
      <c r="E42" s="62"/>
      <c r="F42" s="222"/>
      <c r="G42" s="62"/>
      <c r="H42" s="222"/>
      <c r="I42" s="337" t="s">
        <v>998</v>
      </c>
    </row>
    <row r="43" spans="1:9" ht="28.95" customHeight="1" x14ac:dyDescent="0.7">
      <c r="A43" s="339"/>
      <c r="B43" s="218" t="s">
        <v>999</v>
      </c>
      <c r="C43" s="161">
        <v>0</v>
      </c>
      <c r="D43" s="141"/>
      <c r="E43" s="62"/>
      <c r="F43" s="222"/>
      <c r="G43" s="62"/>
      <c r="H43" s="222"/>
      <c r="I43" s="337"/>
    </row>
    <row r="44" spans="1:9" ht="56.55" customHeight="1" x14ac:dyDescent="0.7">
      <c r="A44" s="187" t="s">
        <v>1000</v>
      </c>
      <c r="B44" s="218" t="s">
        <v>1001</v>
      </c>
      <c r="C44" s="161" t="s">
        <v>739</v>
      </c>
      <c r="D44" s="141"/>
      <c r="E44" s="62"/>
      <c r="F44" s="222"/>
      <c r="G44" s="62"/>
      <c r="H44" s="222"/>
      <c r="I44" s="220" t="s">
        <v>1001</v>
      </c>
    </row>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G6" activePane="bottomRight" state="frozen"/>
      <selection pane="topRight" activeCell="D23" sqref="D23"/>
      <selection pane="bottomLeft" activeCell="D23" sqref="D23"/>
      <selection pane="bottomRight" activeCell="M6" sqref="M6:M10"/>
    </sheetView>
  </sheetViews>
  <sheetFormatPr defaultColWidth="9.15234375" defaultRowHeight="20.399999999999999" x14ac:dyDescent="0.7"/>
  <cols>
    <col min="1" max="1" width="33.69140625" style="3" customWidth="1"/>
    <col min="2" max="2" width="9.69140625" style="248" hidden="1" customWidth="1"/>
    <col min="3" max="3" width="7.69140625" style="224"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6" customWidth="1"/>
    <col min="19" max="81" width="9.15234375" style="223"/>
    <col min="82" max="16384" width="9.15234375" style="1"/>
  </cols>
  <sheetData>
    <row r="1" spans="1:81" ht="21" customHeight="1" x14ac:dyDescent="0.7">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1" t="s">
        <v>760</v>
      </c>
      <c r="D5" s="30" t="s">
        <v>761</v>
      </c>
      <c r="E5" s="30" t="s">
        <v>762</v>
      </c>
      <c r="F5" s="31" t="s">
        <v>763</v>
      </c>
      <c r="G5" s="32" t="s">
        <v>1002</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97.8" customHeight="1" x14ac:dyDescent="0.7">
      <c r="A6" s="356" t="s">
        <v>908</v>
      </c>
      <c r="B6" s="220" t="s">
        <v>909</v>
      </c>
      <c r="C6" s="344">
        <f>('DevCoAssessmentInput(D&amp;T)'!$C$6+'DevCoAssessmentInput(D&amp;T)'!$C$7)/2</f>
        <v>0.4</v>
      </c>
      <c r="D6" s="345" t="str">
        <f>_xlfn.IFS($C$6&gt;0.7,"Good",$C$6&gt;=0.5,"Satisfactory",$C$6&lt;0.5,"Needs Improvement")</f>
        <v>Needs Improvement</v>
      </c>
      <c r="E6" s="346">
        <f>_xlfn.IFS($D$6="Good", 3, $D$6="Satisfactory", 2, $D$6="Needs Improvement", 1)</f>
        <v>1</v>
      </c>
      <c r="F6" s="344">
        <v>0.3</v>
      </c>
      <c r="G6" s="354" t="s">
        <v>910</v>
      </c>
      <c r="H6" s="344" t="s">
        <v>782</v>
      </c>
      <c r="I6" s="344" t="s">
        <v>783</v>
      </c>
      <c r="J6" s="344" t="s">
        <v>784</v>
      </c>
      <c r="K6" s="342"/>
      <c r="L6" s="352" t="s">
        <v>1003</v>
      </c>
      <c r="M6" s="350">
        <f>($F$6*$E$6+$F$8*$E$8+$F$9*$E$9+$F$10*$E$10)</f>
        <v>2.4000000000000004</v>
      </c>
      <c r="N6" s="358">
        <v>0.5</v>
      </c>
      <c r="O6" s="342" t="s">
        <v>1004</v>
      </c>
      <c r="P6" s="343" t="s">
        <v>1005</v>
      </c>
      <c r="Q6" s="341">
        <f>($N$6*$M$6+$N$11*$M$11)</f>
        <v>2.7</v>
      </c>
      <c r="R6" s="342" t="s">
        <v>1006</v>
      </c>
    </row>
    <row r="7" spans="1:81" ht="13.95" hidden="1" customHeight="1" x14ac:dyDescent="0.7">
      <c r="A7" s="357"/>
      <c r="B7" s="220" t="s">
        <v>911</v>
      </c>
      <c r="C7" s="344"/>
      <c r="D7" s="345"/>
      <c r="E7" s="346"/>
      <c r="F7" s="344"/>
      <c r="G7" s="355"/>
      <c r="H7" s="344"/>
      <c r="I7" s="344"/>
      <c r="J7" s="344"/>
      <c r="K7" s="342"/>
      <c r="L7" s="352"/>
      <c r="M7" s="350"/>
      <c r="N7" s="358"/>
      <c r="O7" s="342"/>
      <c r="P7" s="343"/>
      <c r="Q7" s="341"/>
      <c r="R7" s="342"/>
    </row>
    <row r="8" spans="1:81" ht="56.4" customHeight="1" x14ac:dyDescent="0.7">
      <c r="A8" s="187" t="s">
        <v>912</v>
      </c>
      <c r="B8" s="220" t="s">
        <v>913</v>
      </c>
      <c r="C8" s="228" t="str">
        <f>'DevCoAssessmentInput(D&amp;T)'!$C$8</f>
        <v>Yes</v>
      </c>
      <c r="D8" s="226" t="str">
        <f>_xlfn.IFS($C$8&gt;0.7,"Good",$C$8&gt;=0.5,"Satisfactory",$C$8&lt;0.5,"Needs Improvement")</f>
        <v>Good</v>
      </c>
      <c r="E8" s="227">
        <f>_xlfn.IFS($D$8="Good", 3, $D$8="Satisfactory", 2, $D$8="Needs Improvement", 1)</f>
        <v>3</v>
      </c>
      <c r="F8" s="228">
        <v>0.2</v>
      </c>
      <c r="G8" s="218" t="s">
        <v>914</v>
      </c>
      <c r="H8" s="228" t="s">
        <v>782</v>
      </c>
      <c r="I8" s="228" t="s">
        <v>783</v>
      </c>
      <c r="J8" s="228" t="s">
        <v>784</v>
      </c>
      <c r="K8" s="229"/>
      <c r="L8" s="352"/>
      <c r="M8" s="350"/>
      <c r="N8" s="358"/>
      <c r="O8" s="342"/>
      <c r="P8" s="343"/>
      <c r="Q8" s="341"/>
      <c r="R8" s="342"/>
    </row>
    <row r="9" spans="1:81" ht="56.4" customHeight="1" x14ac:dyDescent="0.7">
      <c r="A9" s="187" t="s">
        <v>915</v>
      </c>
      <c r="B9" s="220" t="s">
        <v>916</v>
      </c>
      <c r="C9" s="228" t="str">
        <f>'DevCoAssessmentInput(D&amp;T)'!$C$9</f>
        <v>Yes</v>
      </c>
      <c r="D9" s="226" t="str">
        <f>_xlfn.IFS($C$9="Yes","Good",$C$9="No","Needs Improvement")</f>
        <v>Good</v>
      </c>
      <c r="E9" s="227">
        <f>_xlfn.IFS($D$9="Good", 3, $D$9="Needs Improvement", 1)</f>
        <v>3</v>
      </c>
      <c r="F9" s="228">
        <v>0.2</v>
      </c>
      <c r="G9" s="218" t="s">
        <v>917</v>
      </c>
      <c r="H9" s="228" t="s">
        <v>724</v>
      </c>
      <c r="I9" s="228"/>
      <c r="J9" s="228" t="s">
        <v>739</v>
      </c>
      <c r="K9" s="229"/>
      <c r="L9" s="352"/>
      <c r="M9" s="350"/>
      <c r="N9" s="358"/>
      <c r="O9" s="342"/>
      <c r="P9" s="343"/>
      <c r="Q9" s="341"/>
      <c r="R9" s="342"/>
    </row>
    <row r="10" spans="1:81" ht="42.6" customHeight="1" x14ac:dyDescent="0.7">
      <c r="A10" s="187" t="s">
        <v>918</v>
      </c>
      <c r="B10" s="220" t="s">
        <v>919</v>
      </c>
      <c r="C10" s="228" t="str">
        <f>'DevCoAssessmentInput(D&amp;T)'!$C$10</f>
        <v>No</v>
      </c>
      <c r="D10" s="226" t="str">
        <f>_xlfn.IFS($C$10&gt;0.7,"Good",$C$10&gt;=0.5,"Satisfactory",$C$10&lt;0.5,"Needs Improvement")</f>
        <v>Good</v>
      </c>
      <c r="E10" s="227">
        <f>_xlfn.IFS($D$10="Good", 3, $D$10="Satisfactory", 2, $D$10="Needs Improvement", 1)</f>
        <v>3</v>
      </c>
      <c r="F10" s="228">
        <v>0.3</v>
      </c>
      <c r="G10" s="218" t="s">
        <v>920</v>
      </c>
      <c r="H10" s="228" t="s">
        <v>782</v>
      </c>
      <c r="I10" s="228" t="s">
        <v>783</v>
      </c>
      <c r="J10" s="228" t="s">
        <v>784</v>
      </c>
      <c r="K10" s="229"/>
      <c r="L10" s="352"/>
      <c r="M10" s="350"/>
      <c r="N10" s="358"/>
      <c r="O10" s="342"/>
      <c r="P10" s="343"/>
      <c r="Q10" s="341"/>
      <c r="R10" s="342"/>
    </row>
    <row r="11" spans="1:81" ht="42.6" customHeight="1" x14ac:dyDescent="0.7">
      <c r="A11" s="356" t="s">
        <v>921</v>
      </c>
      <c r="B11" s="220" t="s">
        <v>922</v>
      </c>
      <c r="C11" s="344">
        <f>('DevCoAssessmentInput(D&amp;T)'!$C$11 - 'DevCoAssessmentInput(D&amp;T)'!$C$12)/'DevCoAssessmentInput(D&amp;T)'!$C$12</f>
        <v>0.14285714285714285</v>
      </c>
      <c r="D11" s="345" t="str">
        <f>_xlfn.IFS($C$11&lt;0.15,"Good",$C$11&lt;=0.3,"Satisfactory",$C$11&gt;0.3,"Needs Improvement")</f>
        <v>Good</v>
      </c>
      <c r="E11" s="346">
        <f>_xlfn.IFS($D$11="Good", 3, $D$11="Satisfactory", 2, $D$11="Needs Improvement", 1)</f>
        <v>3</v>
      </c>
      <c r="F11" s="344">
        <v>0.3</v>
      </c>
      <c r="G11" s="354" t="s">
        <v>923</v>
      </c>
      <c r="H11" s="344" t="s">
        <v>1007</v>
      </c>
      <c r="I11" s="344" t="s">
        <v>1008</v>
      </c>
      <c r="J11" s="344" t="s">
        <v>1009</v>
      </c>
      <c r="K11" s="342"/>
      <c r="L11" s="352" t="s">
        <v>1010</v>
      </c>
      <c r="M11" s="350">
        <f>($F$11*$E$11+$F$13*$E$13+$F$15*$E$15)</f>
        <v>3</v>
      </c>
      <c r="N11" s="351">
        <v>0.5</v>
      </c>
      <c r="O11" s="342" t="s">
        <v>1011</v>
      </c>
      <c r="P11" s="343"/>
      <c r="Q11" s="341"/>
      <c r="R11" s="342"/>
    </row>
    <row r="12" spans="1:81" ht="13.95" hidden="1" customHeight="1" x14ac:dyDescent="0.7">
      <c r="A12" s="357"/>
      <c r="B12" s="220" t="s">
        <v>924</v>
      </c>
      <c r="C12" s="344"/>
      <c r="D12" s="345"/>
      <c r="E12" s="346"/>
      <c r="F12" s="344"/>
      <c r="G12" s="355"/>
      <c r="H12" s="344"/>
      <c r="I12" s="344"/>
      <c r="J12" s="344"/>
      <c r="K12" s="342"/>
      <c r="L12" s="352"/>
      <c r="M12" s="350"/>
      <c r="N12" s="351"/>
      <c r="O12" s="342"/>
      <c r="P12" s="343"/>
      <c r="Q12" s="341"/>
      <c r="R12" s="342"/>
    </row>
    <row r="13" spans="1:81" ht="42.6" customHeight="1" x14ac:dyDescent="0.7">
      <c r="A13" s="356" t="s">
        <v>925</v>
      </c>
      <c r="B13" s="220" t="s">
        <v>926</v>
      </c>
      <c r="C13" s="344">
        <f>('DevCoAssessmentInput(D&amp;T)'!$C$13 - 'DevCoAssessmentInput(D&amp;T)'!$C$14)/'DevCoAssessmentInput(D&amp;T)'!$C$14</f>
        <v>4.1666666666666706E-2</v>
      </c>
      <c r="D13" s="345" t="str">
        <f>_xlfn.IFS($C$13&lt;0.15,"Good",$C$13&lt;=0.3,"Satisfactory",$C$13&gt;0.3,"Needs Improvement")</f>
        <v>Good</v>
      </c>
      <c r="E13" s="346">
        <f>_xlfn.IFS($D$13="Good", 3, $D$13="Satisfactory", 2, $D$13="Needs Improvement", 1)</f>
        <v>3</v>
      </c>
      <c r="F13" s="344">
        <v>0.3</v>
      </c>
      <c r="G13" s="354" t="s">
        <v>927</v>
      </c>
      <c r="H13" s="344" t="s">
        <v>1007</v>
      </c>
      <c r="I13" s="344" t="s">
        <v>1008</v>
      </c>
      <c r="J13" s="344" t="s">
        <v>1009</v>
      </c>
      <c r="K13" s="342"/>
      <c r="L13" s="352"/>
      <c r="M13" s="350"/>
      <c r="N13" s="351"/>
      <c r="O13" s="342"/>
      <c r="P13" s="343"/>
      <c r="Q13" s="341"/>
      <c r="R13" s="342"/>
    </row>
    <row r="14" spans="1:81" ht="13.95" hidden="1" customHeight="1" x14ac:dyDescent="0.7">
      <c r="A14" s="357"/>
      <c r="B14" s="220" t="s">
        <v>928</v>
      </c>
      <c r="C14" s="344"/>
      <c r="D14" s="345"/>
      <c r="E14" s="346"/>
      <c r="F14" s="344"/>
      <c r="G14" s="355"/>
      <c r="H14" s="344"/>
      <c r="I14" s="344"/>
      <c r="J14" s="344"/>
      <c r="K14" s="342"/>
      <c r="L14" s="352"/>
      <c r="M14" s="350"/>
      <c r="N14" s="351"/>
      <c r="O14" s="342"/>
      <c r="P14" s="343"/>
      <c r="Q14" s="341"/>
      <c r="R14" s="342"/>
    </row>
    <row r="15" spans="1:81" ht="42.6" customHeight="1" x14ac:dyDescent="0.7">
      <c r="A15" s="356" t="s">
        <v>929</v>
      </c>
      <c r="B15" s="220" t="s">
        <v>930</v>
      </c>
      <c r="C15" s="344">
        <f>('DevCoAssessmentInput(D&amp;T)'!$C$15 - 'DevCoAssessmentInput(D&amp;T)'!$C$16)/'DevCoAssessmentInput(D&amp;T)'!$C$16</f>
        <v>5.2631578947368418E-2</v>
      </c>
      <c r="D15" s="345" t="str">
        <f>_xlfn.IFS($C$15&lt;0.3,"Good",$C$15&lt;=0.4,"Satisfactory",$C$15&gt;0.4,"Needs Improvement")</f>
        <v>Good</v>
      </c>
      <c r="E15" s="346">
        <f>_xlfn.IFS($D$15="Good", 3, $D$15="Satisfactory", 2, $D$15="Needs Improvement", 1)</f>
        <v>3</v>
      </c>
      <c r="F15" s="344">
        <v>0.4</v>
      </c>
      <c r="G15" s="354" t="s">
        <v>931</v>
      </c>
      <c r="H15" s="344" t="s">
        <v>785</v>
      </c>
      <c r="I15" s="344" t="s">
        <v>1012</v>
      </c>
      <c r="J15" s="344" t="s">
        <v>790</v>
      </c>
      <c r="K15" s="342"/>
      <c r="L15" s="352"/>
      <c r="M15" s="350"/>
      <c r="N15" s="351"/>
      <c r="O15" s="342"/>
      <c r="P15" s="343"/>
      <c r="Q15" s="341"/>
      <c r="R15" s="342"/>
    </row>
    <row r="16" spans="1:81" ht="13.95" hidden="1" customHeight="1" x14ac:dyDescent="0.7">
      <c r="A16" s="357"/>
      <c r="B16" s="220" t="s">
        <v>932</v>
      </c>
      <c r="C16" s="344"/>
      <c r="D16" s="345"/>
      <c r="E16" s="346"/>
      <c r="F16" s="344"/>
      <c r="G16" s="355"/>
      <c r="H16" s="344"/>
      <c r="I16" s="344"/>
      <c r="J16" s="344"/>
      <c r="K16" s="342"/>
      <c r="L16" s="352"/>
      <c r="M16" s="350"/>
      <c r="N16" s="351"/>
      <c r="O16" s="342"/>
      <c r="P16" s="343"/>
      <c r="Q16" s="341"/>
      <c r="R16" s="342"/>
    </row>
    <row r="17" spans="1:18" ht="42.6" customHeight="1" x14ac:dyDescent="0.7">
      <c r="A17" s="356" t="s">
        <v>933</v>
      </c>
      <c r="B17" s="220" t="s">
        <v>934</v>
      </c>
      <c r="C17" s="344">
        <f>'DevCoAssessmentInput(D&amp;T)'!$C$17/'DevCoAssessmentInput(D&amp;T)'!$C$18</f>
        <v>0.33333333333333337</v>
      </c>
      <c r="D17" s="345" t="str">
        <f>_xlfn.IFS($C$17&gt;0.4,"Good",$C$17&gt;=0.2,"Satisfactory",$C$17&lt;0.2,"Needs Improvement")</f>
        <v>Satisfactory</v>
      </c>
      <c r="E17" s="346">
        <f>_xlfn.IFS($D$17="Good", 3, $D$17="Satisfactory", 2, $D$17="Needs Improvement", 1)</f>
        <v>2</v>
      </c>
      <c r="F17" s="344">
        <v>0.2</v>
      </c>
      <c r="G17" s="354" t="s">
        <v>935</v>
      </c>
      <c r="H17" s="344" t="s">
        <v>790</v>
      </c>
      <c r="I17" s="344" t="s">
        <v>789</v>
      </c>
      <c r="J17" s="344" t="s">
        <v>788</v>
      </c>
      <c r="K17" s="342"/>
      <c r="L17" s="352" t="s">
        <v>1013</v>
      </c>
      <c r="M17" s="350">
        <f>($F$17*$E$17+$F$19*$E$19+$F$20*$E$20+$F$21*$E$21+$F$23*$E$23)</f>
        <v>2.8000000000000003</v>
      </c>
      <c r="N17" s="351">
        <v>1</v>
      </c>
      <c r="O17" s="342" t="s">
        <v>1014</v>
      </c>
      <c r="P17" s="343" t="s">
        <v>1015</v>
      </c>
      <c r="Q17" s="341">
        <f>($N$17*$M$17)</f>
        <v>2.8000000000000003</v>
      </c>
      <c r="R17" s="342"/>
    </row>
    <row r="18" spans="1:18" ht="13.95" hidden="1" customHeight="1" x14ac:dyDescent="0.7">
      <c r="A18" s="357"/>
      <c r="B18" s="220" t="s">
        <v>936</v>
      </c>
      <c r="C18" s="344"/>
      <c r="D18" s="345"/>
      <c r="E18" s="346"/>
      <c r="F18" s="344"/>
      <c r="G18" s="355"/>
      <c r="H18" s="344"/>
      <c r="I18" s="344"/>
      <c r="J18" s="344"/>
      <c r="K18" s="342"/>
      <c r="L18" s="352"/>
      <c r="M18" s="350"/>
      <c r="N18" s="351"/>
      <c r="O18" s="342"/>
      <c r="P18" s="343"/>
      <c r="Q18" s="341"/>
      <c r="R18" s="342"/>
    </row>
    <row r="19" spans="1:18" ht="42.6" customHeight="1" x14ac:dyDescent="0.7">
      <c r="A19" s="187" t="s">
        <v>937</v>
      </c>
      <c r="B19" s="220" t="s">
        <v>938</v>
      </c>
      <c r="C19" s="228" t="str">
        <f>'DevCoAssessmentInput(D&amp;T)'!$C$19</f>
        <v>Yes</v>
      </c>
      <c r="D19" s="226" t="str">
        <f>_xlfn.IFS($C$19="Yes","Good",$C$19="No","Needs Improvement")</f>
        <v>Good</v>
      </c>
      <c r="E19" s="227">
        <f>_xlfn.IFS($D$19="Good", 3, $D$19="Needs Improvement", 1)</f>
        <v>3</v>
      </c>
      <c r="F19" s="228">
        <v>0.2</v>
      </c>
      <c r="G19" s="218" t="s">
        <v>939</v>
      </c>
      <c r="H19" s="228" t="s">
        <v>724</v>
      </c>
      <c r="I19" s="228"/>
      <c r="J19" s="228" t="s">
        <v>739</v>
      </c>
      <c r="K19" s="229"/>
      <c r="L19" s="352"/>
      <c r="M19" s="350"/>
      <c r="N19" s="351"/>
      <c r="O19" s="342"/>
      <c r="P19" s="343"/>
      <c r="Q19" s="341"/>
      <c r="R19" s="342"/>
    </row>
    <row r="20" spans="1:18" ht="70.2" customHeight="1" x14ac:dyDescent="0.7">
      <c r="A20" s="187" t="s">
        <v>940</v>
      </c>
      <c r="B20" s="220" t="s">
        <v>941</v>
      </c>
      <c r="C20" s="228" t="str">
        <f>'DevCoAssessmentInput(D&amp;T)'!$C$20</f>
        <v>Yes</v>
      </c>
      <c r="D20" s="226" t="str">
        <f>_xlfn.IFS($C$20="Yes","Good",$C$20="No","Needs Improvement")</f>
        <v>Good</v>
      </c>
      <c r="E20" s="227">
        <f>_xlfn.IFS($D$20="Good", 3, $D$20="Needs Improvement", 1)</f>
        <v>3</v>
      </c>
      <c r="F20" s="228">
        <v>0.2</v>
      </c>
      <c r="G20" s="218" t="s">
        <v>942</v>
      </c>
      <c r="H20" s="228" t="s">
        <v>724</v>
      </c>
      <c r="I20" s="228"/>
      <c r="J20" s="228" t="s">
        <v>739</v>
      </c>
      <c r="K20" s="229"/>
      <c r="L20" s="352"/>
      <c r="M20" s="350"/>
      <c r="N20" s="351"/>
      <c r="O20" s="342"/>
      <c r="P20" s="343"/>
      <c r="Q20" s="341"/>
      <c r="R20" s="342"/>
    </row>
    <row r="21" spans="1:18" ht="56.4" customHeight="1" x14ac:dyDescent="0.7">
      <c r="A21" s="356" t="s">
        <v>943</v>
      </c>
      <c r="B21" s="220" t="s">
        <v>944</v>
      </c>
      <c r="C21" s="344" t="str">
        <f>IF('DevCoAssessmentInput(D&amp;T)'!$C$21='DevCoAssessmentInput(D&amp;T)'!$C$22,"Yes","No")</f>
        <v>Yes</v>
      </c>
      <c r="D21" s="345" t="str">
        <f>_xlfn.IFS($C$21="Yes","Good",$C$21="No","Needs Improvement")</f>
        <v>Good</v>
      </c>
      <c r="E21" s="346">
        <f>_xlfn.IFS($D$21="Good", 3, $D$21="Needs Improvement", 1)</f>
        <v>3</v>
      </c>
      <c r="F21" s="344">
        <v>0.2</v>
      </c>
      <c r="G21" s="354" t="s">
        <v>945</v>
      </c>
      <c r="H21" s="344" t="s">
        <v>724</v>
      </c>
      <c r="I21" s="344"/>
      <c r="J21" s="344" t="s">
        <v>739</v>
      </c>
      <c r="K21" s="342"/>
      <c r="L21" s="352"/>
      <c r="M21" s="350"/>
      <c r="N21" s="351"/>
      <c r="O21" s="342"/>
      <c r="P21" s="343"/>
      <c r="Q21" s="341"/>
      <c r="R21" s="342"/>
    </row>
    <row r="22" spans="1:18" ht="13.95" hidden="1" customHeight="1" x14ac:dyDescent="0.7">
      <c r="A22" s="357"/>
      <c r="B22" s="220" t="s">
        <v>946</v>
      </c>
      <c r="C22" s="344"/>
      <c r="D22" s="345"/>
      <c r="E22" s="346"/>
      <c r="F22" s="344"/>
      <c r="G22" s="355"/>
      <c r="H22" s="344"/>
      <c r="I22" s="344"/>
      <c r="J22" s="344"/>
      <c r="K22" s="342"/>
      <c r="L22" s="352"/>
      <c r="M22" s="350"/>
      <c r="N22" s="351"/>
      <c r="O22" s="342"/>
      <c r="P22" s="343"/>
      <c r="Q22" s="341"/>
      <c r="R22" s="342"/>
    </row>
    <row r="23" spans="1:18" ht="42.6" customHeight="1" x14ac:dyDescent="0.7">
      <c r="A23" s="187" t="s">
        <v>947</v>
      </c>
      <c r="B23" s="220" t="s">
        <v>948</v>
      </c>
      <c r="C23" s="228" t="str">
        <f>'DevCoAssessmentInput(D&amp;T)'!$C$23</f>
        <v>Yes</v>
      </c>
      <c r="D23" s="226" t="str">
        <f>_xlfn.IFS($C$23="Yes","Good",$C$23="No","Needs Improvement")</f>
        <v>Good</v>
      </c>
      <c r="E23" s="227">
        <f>_xlfn.IFS($D$23="Good", 3, $D$23="Needs Improvement", 1)</f>
        <v>3</v>
      </c>
      <c r="F23" s="228">
        <v>0.2</v>
      </c>
      <c r="G23" s="218" t="s">
        <v>949</v>
      </c>
      <c r="H23" s="228" t="s">
        <v>724</v>
      </c>
      <c r="I23" s="228"/>
      <c r="J23" s="228" t="s">
        <v>739</v>
      </c>
      <c r="K23" s="229"/>
      <c r="L23" s="352"/>
      <c r="M23" s="350"/>
      <c r="N23" s="351"/>
      <c r="O23" s="342"/>
      <c r="P23" s="343"/>
      <c r="Q23" s="341"/>
      <c r="R23" s="342"/>
    </row>
    <row r="24" spans="1:18" ht="56.4" customHeight="1" x14ac:dyDescent="0.7">
      <c r="A24" s="187" t="s">
        <v>950</v>
      </c>
      <c r="B24" s="220" t="s">
        <v>951</v>
      </c>
      <c r="C24" s="228" t="str">
        <f>'DevCoAssessmentInput(D&amp;T)'!$C$24</f>
        <v>Yes</v>
      </c>
      <c r="D24" s="226" t="str">
        <f>_xlfn.IFS($C$24="Yes","Good",$C$24="No","Needs Improvement")</f>
        <v>Good</v>
      </c>
      <c r="E24" s="227">
        <f>_xlfn.IFS($D$24="Good", 3, $D$24="Needs Improvement", 1)</f>
        <v>3</v>
      </c>
      <c r="F24" s="228">
        <v>0.1</v>
      </c>
      <c r="G24" s="218" t="s">
        <v>952</v>
      </c>
      <c r="H24" s="228" t="s">
        <v>724</v>
      </c>
      <c r="I24" s="228"/>
      <c r="J24" s="228" t="s">
        <v>739</v>
      </c>
      <c r="K24" s="229"/>
      <c r="L24" s="352" t="s">
        <v>1016</v>
      </c>
      <c r="M24" s="350">
        <f>($F$24*$E$24+$F$25*$E$25+$F$26*$E$26+$F$28*$E$28+$F$29*$E$29+$F$30*$E$30)</f>
        <v>2.6</v>
      </c>
      <c r="N24" s="351">
        <v>1</v>
      </c>
      <c r="O24" s="342" t="s">
        <v>1017</v>
      </c>
      <c r="P24" s="343" t="s">
        <v>1018</v>
      </c>
      <c r="Q24" s="341">
        <f>($N$24*$M$24)</f>
        <v>2.6</v>
      </c>
      <c r="R24" s="342"/>
    </row>
    <row r="25" spans="1:18" ht="84" customHeight="1" x14ac:dyDescent="0.7">
      <c r="A25" s="187" t="s">
        <v>953</v>
      </c>
      <c r="B25" s="220" t="s">
        <v>954</v>
      </c>
      <c r="C25" s="228">
        <f>'DevCoAssessmentInput(D&amp;T)'!$C$25</f>
        <v>0.1</v>
      </c>
      <c r="D25" s="226" t="str">
        <f>_xlfn.IFS($C$25&gt;0.7,"Good",$C$25&gt;=0.5,"Satisfactory",$C$25&lt;0.5,"Needs Improvement")</f>
        <v>Needs Improvement</v>
      </c>
      <c r="E25" s="227">
        <f>_xlfn.IFS($D$25="Good", 3, $D$25="Satisfactory", 2, $D$25="Needs Improvement", 1)</f>
        <v>1</v>
      </c>
      <c r="F25" s="228">
        <v>0.2</v>
      </c>
      <c r="G25" s="218" t="s">
        <v>955</v>
      </c>
      <c r="H25" s="228" t="s">
        <v>782</v>
      </c>
      <c r="I25" s="228" t="s">
        <v>783</v>
      </c>
      <c r="J25" s="228" t="s">
        <v>784</v>
      </c>
      <c r="K25" s="229"/>
      <c r="L25" s="352"/>
      <c r="M25" s="350"/>
      <c r="N25" s="351"/>
      <c r="O25" s="342"/>
      <c r="P25" s="343"/>
      <c r="Q25" s="341"/>
      <c r="R25" s="342"/>
    </row>
    <row r="26" spans="1:18" ht="42.6" customHeight="1" x14ac:dyDescent="0.7">
      <c r="A26" s="356" t="s">
        <v>956</v>
      </c>
      <c r="B26" s="220" t="s">
        <v>957</v>
      </c>
      <c r="C26" s="344">
        <f>'DevCoAssessmentInput(D&amp;T)'!$C$27/'DevCoAssessmentInput(D&amp;T)'!$C$26</f>
        <v>0.85</v>
      </c>
      <c r="D26" s="345" t="str">
        <f>_xlfn.IFS($C$26&gt;0.7,"Good",$C$26&gt;=0.4,"Satisfactory",$C$26&lt;0.4,"Needs Improvement")</f>
        <v>Good</v>
      </c>
      <c r="E26" s="346">
        <f>_xlfn.IFS($D$26="Good", 3, $D$26="Satisfactory", 2, $D$26="Needs Improvement", 1)</f>
        <v>3</v>
      </c>
      <c r="F26" s="344">
        <v>0.2</v>
      </c>
      <c r="G26" s="354" t="s">
        <v>958</v>
      </c>
      <c r="H26" s="344" t="s">
        <v>782</v>
      </c>
      <c r="I26" s="344" t="s">
        <v>795</v>
      </c>
      <c r="J26" s="344" t="s">
        <v>796</v>
      </c>
      <c r="K26" s="342"/>
      <c r="L26" s="352"/>
      <c r="M26" s="350"/>
      <c r="N26" s="351"/>
      <c r="O26" s="342"/>
      <c r="P26" s="343"/>
      <c r="Q26" s="341"/>
      <c r="R26" s="342"/>
    </row>
    <row r="27" spans="1:18" ht="13.95" hidden="1" customHeight="1" x14ac:dyDescent="0.7">
      <c r="A27" s="357"/>
      <c r="B27" s="220" t="s">
        <v>959</v>
      </c>
      <c r="C27" s="344"/>
      <c r="D27" s="345"/>
      <c r="E27" s="346"/>
      <c r="F27" s="344"/>
      <c r="G27" s="355"/>
      <c r="H27" s="344"/>
      <c r="I27" s="344"/>
      <c r="J27" s="344"/>
      <c r="K27" s="342"/>
      <c r="L27" s="352"/>
      <c r="M27" s="350"/>
      <c r="N27" s="351"/>
      <c r="O27" s="342"/>
      <c r="P27" s="343"/>
      <c r="Q27" s="341"/>
      <c r="R27" s="342"/>
    </row>
    <row r="28" spans="1:18" ht="70.2" customHeight="1" x14ac:dyDescent="0.7">
      <c r="A28" s="187" t="s">
        <v>960</v>
      </c>
      <c r="B28" s="220" t="s">
        <v>961</v>
      </c>
      <c r="C28" s="225">
        <f>'DevCoAssessmentInput(D&amp;T)'!$C$28</f>
        <v>14</v>
      </c>
      <c r="D28" s="226" t="str">
        <f>_xlfn.IFS($C$28&lt;14,"Good",$C$28&lt;=30,"Satisfactory",$C$28&gt;30,"Needs Improvement")</f>
        <v>Satisfactory</v>
      </c>
      <c r="E28" s="227">
        <f>_xlfn.IFS($D$28="Good", 3, $D$28="Satisfactory", 2, $D$28="Needs Improvement", 1)</f>
        <v>2</v>
      </c>
      <c r="F28" s="228"/>
      <c r="G28" s="218" t="s">
        <v>962</v>
      </c>
      <c r="H28" s="228" t="s">
        <v>1019</v>
      </c>
      <c r="I28" s="228" t="s">
        <v>1020</v>
      </c>
      <c r="J28" s="228" t="s">
        <v>1021</v>
      </c>
      <c r="K28" s="229"/>
      <c r="L28" s="352"/>
      <c r="M28" s="350"/>
      <c r="N28" s="351"/>
      <c r="O28" s="342"/>
      <c r="P28" s="343"/>
      <c r="Q28" s="341"/>
      <c r="R28" s="342"/>
    </row>
    <row r="29" spans="1:18" ht="111.6" customHeight="1" x14ac:dyDescent="0.7">
      <c r="A29" s="187" t="s">
        <v>963</v>
      </c>
      <c r="B29" s="220" t="s">
        <v>964</v>
      </c>
      <c r="C29" s="228" t="str">
        <f>'DevCoAssessmentInput(D&amp;T)'!$C$29</f>
        <v>Yes</v>
      </c>
      <c r="D29" s="226" t="str">
        <f>_xlfn.IFS($C$29="Yes","Good",$C$29="No","Needs Improvement")</f>
        <v>Good</v>
      </c>
      <c r="E29" s="227">
        <f>_xlfn.IFS($D$29="Good", 3, $D$29="Needs Improvement", 1)</f>
        <v>3</v>
      </c>
      <c r="F29" s="228">
        <v>0.2</v>
      </c>
      <c r="G29" s="218" t="s">
        <v>965</v>
      </c>
      <c r="H29" s="228" t="s">
        <v>724</v>
      </c>
      <c r="I29" s="228"/>
      <c r="J29" s="228" t="s">
        <v>739</v>
      </c>
      <c r="K29" s="229"/>
      <c r="L29" s="352"/>
      <c r="M29" s="350"/>
      <c r="N29" s="351"/>
      <c r="O29" s="342"/>
      <c r="P29" s="343"/>
      <c r="Q29" s="341"/>
      <c r="R29" s="342"/>
    </row>
    <row r="30" spans="1:18" ht="42.6" customHeight="1" x14ac:dyDescent="0.7">
      <c r="A30" s="187" t="s">
        <v>966</v>
      </c>
      <c r="B30" s="220" t="s">
        <v>967</v>
      </c>
      <c r="C30" s="228" t="str">
        <f>'DevCoAssessmentInput(D&amp;T)'!$C$30</f>
        <v>Yes</v>
      </c>
      <c r="D30" s="226" t="str">
        <f>_xlfn.IFS($C$30="Yes","Good",$C$30="No","Needs Improvement")</f>
        <v>Good</v>
      </c>
      <c r="E30" s="227">
        <f>_xlfn.IFS($D$30="Good", 3, $D$30="Needs Improvement", 1)</f>
        <v>3</v>
      </c>
      <c r="F30" s="228">
        <v>0.3</v>
      </c>
      <c r="G30" s="218" t="s">
        <v>968</v>
      </c>
      <c r="H30" s="228" t="s">
        <v>724</v>
      </c>
      <c r="I30" s="228"/>
      <c r="J30" s="228" t="s">
        <v>739</v>
      </c>
      <c r="K30" s="229"/>
      <c r="L30" s="352"/>
      <c r="M30" s="350"/>
      <c r="N30" s="351"/>
      <c r="O30" s="342"/>
      <c r="P30" s="343"/>
      <c r="Q30" s="341"/>
      <c r="R30" s="342"/>
    </row>
    <row r="31" spans="1:18" ht="84" customHeight="1" x14ac:dyDescent="0.7">
      <c r="A31" s="187" t="s">
        <v>969</v>
      </c>
      <c r="B31" s="220" t="s">
        <v>970</v>
      </c>
      <c r="C31" s="228" t="str">
        <f>'DevCoAssessmentInput(D&amp;T)'!$C$31</f>
        <v>No</v>
      </c>
      <c r="D31" s="226" t="str">
        <f>_xlfn.IFS($C$31="Yes","Good",$C$31="No","Needs Improvement")</f>
        <v>Needs Improvement</v>
      </c>
      <c r="E31" s="227">
        <f>_xlfn.IFS($D$31="Good", 3, $D$31="Needs Improvement", 1)</f>
        <v>1</v>
      </c>
      <c r="F31" s="228">
        <v>0.5</v>
      </c>
      <c r="G31" s="218" t="s">
        <v>971</v>
      </c>
      <c r="H31" s="228" t="s">
        <v>724</v>
      </c>
      <c r="I31" s="228"/>
      <c r="J31" s="228" t="s">
        <v>739</v>
      </c>
      <c r="K31" s="229"/>
      <c r="L31" s="352" t="s">
        <v>1022</v>
      </c>
      <c r="M31" s="350">
        <f>($F$31*$E$31+$F$32*$E$32)</f>
        <v>2</v>
      </c>
      <c r="N31" s="351">
        <v>0.4</v>
      </c>
      <c r="O31" s="342"/>
      <c r="P31" s="343" t="s">
        <v>1023</v>
      </c>
      <c r="Q31" s="341">
        <f>($N$31*$M$31+$N$33*$M$33)</f>
        <v>2.12</v>
      </c>
      <c r="R31" s="342"/>
    </row>
    <row r="32" spans="1:18" ht="56.4" customHeight="1" x14ac:dyDescent="0.7">
      <c r="A32" s="187" t="s">
        <v>972</v>
      </c>
      <c r="B32" s="220" t="s">
        <v>973</v>
      </c>
      <c r="C32" s="228" t="str">
        <f>'DevCoAssessmentInput(D&amp;T)'!$C$32</f>
        <v>Yes</v>
      </c>
      <c r="D32" s="226" t="str">
        <f>_xlfn.IFS($C$32="Yes","Good",$C$32="No","Needs Improvement")</f>
        <v>Good</v>
      </c>
      <c r="E32" s="227">
        <f>_xlfn.IFS($D$32="Good", 3, $D$32="Needs Improvement", 1)</f>
        <v>3</v>
      </c>
      <c r="F32" s="228">
        <v>0.5</v>
      </c>
      <c r="G32" s="218" t="s">
        <v>974</v>
      </c>
      <c r="H32" s="228" t="s">
        <v>724</v>
      </c>
      <c r="I32" s="228"/>
      <c r="J32" s="228" t="s">
        <v>739</v>
      </c>
      <c r="K32" s="229"/>
      <c r="L32" s="352"/>
      <c r="M32" s="350"/>
      <c r="N32" s="351"/>
      <c r="O32" s="342"/>
      <c r="P32" s="343"/>
      <c r="Q32" s="341"/>
      <c r="R32" s="342"/>
    </row>
    <row r="33" spans="1:18" ht="56.4" customHeight="1" x14ac:dyDescent="0.7">
      <c r="A33" s="187" t="s">
        <v>975</v>
      </c>
      <c r="B33" s="220" t="s">
        <v>976</v>
      </c>
      <c r="C33" s="228">
        <f>'DevCoAssessmentInput(D&amp;T)'!$C$33</f>
        <v>0.15</v>
      </c>
      <c r="D33" s="226" t="str">
        <f>_xlfn.IFS($C$33&lt;0.1,"Good",$C$33&lt;=0.3,"Satisfactory",$C$33&gt;0.3,"Needs Improvement")</f>
        <v>Satisfactory</v>
      </c>
      <c r="E33" s="227">
        <f>_xlfn.IFS($D$33="Good", 3, $D$33="Satisfactory", 2, $D$33="Needs Improvement", 1)</f>
        <v>2</v>
      </c>
      <c r="F33" s="228">
        <v>0.2</v>
      </c>
      <c r="G33" s="218" t="s">
        <v>977</v>
      </c>
      <c r="H33" s="228" t="s">
        <v>1024</v>
      </c>
      <c r="I33" s="228" t="s">
        <v>1025</v>
      </c>
      <c r="J33" s="228" t="s">
        <v>1009</v>
      </c>
      <c r="K33" s="229"/>
      <c r="L33" s="352" t="s">
        <v>1026</v>
      </c>
      <c r="M33" s="350">
        <f>($F$33*$E$33+$F$34*$E$34+$F$36*$E$36+$F$37*$E$37+$F$39*$E$39+$F$40*$E$40)</f>
        <v>2.1999999999999997</v>
      </c>
      <c r="N33" s="351">
        <v>0.6</v>
      </c>
      <c r="O33" s="342"/>
      <c r="P33" s="343"/>
      <c r="Q33" s="341"/>
      <c r="R33" s="342"/>
    </row>
    <row r="34" spans="1:18" ht="42.6" customHeight="1" x14ac:dyDescent="0.7">
      <c r="A34" s="356" t="s">
        <v>978</v>
      </c>
      <c r="B34" s="220" t="s">
        <v>979</v>
      </c>
      <c r="C34" s="344">
        <f>'DevCoAssessmentInput(D&amp;T)'!$C$35/'DevCoAssessmentInput(D&amp;T)'!$C$34</f>
        <v>1.0476190476190477</v>
      </c>
      <c r="D34" s="345" t="str">
        <f>_xlfn.IFS($C$34&gt;0.7,"Good",$C$34&gt;=0.5,"Satisfactory",$C$34&lt;0.5,"Needs Improvement")</f>
        <v>Good</v>
      </c>
      <c r="E34" s="346">
        <f>_xlfn.IFS($D$34="Good", 3, $D$34="Satisfactory", 2, $D$34="Needs Improvement", 1)</f>
        <v>3</v>
      </c>
      <c r="F34" s="344">
        <v>0.2</v>
      </c>
      <c r="G34" s="354" t="s">
        <v>980</v>
      </c>
      <c r="H34" s="344" t="s">
        <v>782</v>
      </c>
      <c r="I34" s="344" t="s">
        <v>783</v>
      </c>
      <c r="J34" s="344" t="s">
        <v>784</v>
      </c>
      <c r="K34" s="342"/>
      <c r="L34" s="352"/>
      <c r="M34" s="350"/>
      <c r="N34" s="351"/>
      <c r="O34" s="342"/>
      <c r="P34" s="343"/>
      <c r="Q34" s="341"/>
      <c r="R34" s="342"/>
    </row>
    <row r="35" spans="1:18" ht="13.95" hidden="1" customHeight="1" x14ac:dyDescent="0.7">
      <c r="A35" s="357"/>
      <c r="B35" s="220" t="s">
        <v>981</v>
      </c>
      <c r="C35" s="344"/>
      <c r="D35" s="345"/>
      <c r="E35" s="346"/>
      <c r="F35" s="344"/>
      <c r="G35" s="355"/>
      <c r="H35" s="344"/>
      <c r="I35" s="344"/>
      <c r="J35" s="344"/>
      <c r="K35" s="342"/>
      <c r="L35" s="352"/>
      <c r="M35" s="350"/>
      <c r="N35" s="351"/>
      <c r="O35" s="342"/>
      <c r="P35" s="343"/>
      <c r="Q35" s="341"/>
      <c r="R35" s="342"/>
    </row>
    <row r="36" spans="1:18" ht="84" customHeight="1" x14ac:dyDescent="0.7">
      <c r="A36" s="187" t="s">
        <v>982</v>
      </c>
      <c r="B36" s="220" t="s">
        <v>983</v>
      </c>
      <c r="C36" s="228" t="str">
        <f>'DevCoAssessmentInput(D&amp;T)'!$C$36</f>
        <v>Yes</v>
      </c>
      <c r="D36" s="226" t="str">
        <f>_xlfn.IFS($C$36="Yes","Good",$C$36="No","Needs Improvement")</f>
        <v>Good</v>
      </c>
      <c r="E36" s="227">
        <f>_xlfn.IFS($D$36="Good", 3, $D$36="Needs Improvement", 1)</f>
        <v>3</v>
      </c>
      <c r="F36" s="228">
        <v>0.15</v>
      </c>
      <c r="G36" s="218" t="s">
        <v>984</v>
      </c>
      <c r="H36" s="228" t="s">
        <v>724</v>
      </c>
      <c r="I36" s="228"/>
      <c r="J36" s="228" t="s">
        <v>739</v>
      </c>
      <c r="K36" s="229"/>
      <c r="L36" s="352"/>
      <c r="M36" s="350"/>
      <c r="N36" s="351"/>
      <c r="O36" s="342"/>
      <c r="P36" s="343"/>
      <c r="Q36" s="341"/>
      <c r="R36" s="342"/>
    </row>
    <row r="37" spans="1:18" ht="56.4" customHeight="1" x14ac:dyDescent="0.7">
      <c r="A37" s="356" t="s">
        <v>985</v>
      </c>
      <c r="B37" s="220" t="s">
        <v>986</v>
      </c>
      <c r="C37" s="344">
        <f>'DevCoAssessmentInput(D&amp;T)'!$C$37/'DevCoAssessmentInput(D&amp;T)'!$C$38</f>
        <v>0.3174603174603175</v>
      </c>
      <c r="D37" s="345" t="str">
        <f>_xlfn.IFS($C$37&lt;0.2,"Good",$C$37&lt;=0.3,"Satisfactory",$C$37&gt;0.3,"Needs Improvement")</f>
        <v>Needs Improvement</v>
      </c>
      <c r="E37" s="346">
        <f>_xlfn.IFS($D$37="Good", 3, $D$37="Satisfactory", 2, $D$37="Needs Improvement", 1)</f>
        <v>1</v>
      </c>
      <c r="F37" s="344">
        <v>0.15</v>
      </c>
      <c r="G37" s="354" t="s">
        <v>987</v>
      </c>
      <c r="H37" s="344" t="s">
        <v>788</v>
      </c>
      <c r="I37" s="344" t="s">
        <v>1027</v>
      </c>
      <c r="J37" s="344" t="s">
        <v>1009</v>
      </c>
      <c r="K37" s="342"/>
      <c r="L37" s="352"/>
      <c r="M37" s="350"/>
      <c r="N37" s="351"/>
      <c r="O37" s="342"/>
      <c r="P37" s="343"/>
      <c r="Q37" s="341"/>
      <c r="R37" s="342"/>
    </row>
    <row r="38" spans="1:18" ht="13.95" hidden="1" customHeight="1" x14ac:dyDescent="0.7">
      <c r="A38" s="357"/>
      <c r="B38" s="220" t="s">
        <v>988</v>
      </c>
      <c r="C38" s="344"/>
      <c r="D38" s="345"/>
      <c r="E38" s="346"/>
      <c r="F38" s="344"/>
      <c r="G38" s="355"/>
      <c r="H38" s="344"/>
      <c r="I38" s="344"/>
      <c r="J38" s="344"/>
      <c r="K38" s="342"/>
      <c r="L38" s="352"/>
      <c r="M38" s="350"/>
      <c r="N38" s="351"/>
      <c r="O38" s="342"/>
      <c r="P38" s="343"/>
      <c r="Q38" s="341"/>
      <c r="R38" s="342"/>
    </row>
    <row r="39" spans="1:18" ht="70.2" customHeight="1" x14ac:dyDescent="0.7">
      <c r="A39" s="187" t="s">
        <v>989</v>
      </c>
      <c r="B39" s="220" t="s">
        <v>990</v>
      </c>
      <c r="C39" s="228" t="str">
        <f>'DevCoAssessmentInput(D&amp;T)'!$C$39</f>
        <v>Yes</v>
      </c>
      <c r="D39" s="226" t="str">
        <f>_xlfn.IFS($C$39="Yes","Good",$C$39="No","Needs Improvement")</f>
        <v>Good</v>
      </c>
      <c r="E39" s="227">
        <f>_xlfn.IFS($D$39="Good", 3, $D$39="Needs Improvement", 1)</f>
        <v>3</v>
      </c>
      <c r="F39" s="228">
        <v>0.15</v>
      </c>
      <c r="G39" s="218" t="s">
        <v>991</v>
      </c>
      <c r="H39" s="228" t="s">
        <v>724</v>
      </c>
      <c r="I39" s="228"/>
      <c r="J39" s="228" t="s">
        <v>739</v>
      </c>
      <c r="K39" s="229"/>
      <c r="L39" s="352"/>
      <c r="M39" s="350"/>
      <c r="N39" s="351"/>
      <c r="O39" s="342"/>
      <c r="P39" s="343"/>
      <c r="Q39" s="341"/>
      <c r="R39" s="342"/>
    </row>
    <row r="40" spans="1:18" ht="42.6" customHeight="1" x14ac:dyDescent="0.7">
      <c r="A40" s="356" t="s">
        <v>992</v>
      </c>
      <c r="B40" s="220" t="s">
        <v>993</v>
      </c>
      <c r="C40" s="344">
        <f>'DevCoAssessmentInput(D&amp;T)'!$C$41/'DevCoAssessmentInput(D&amp;T)'!$C$40</f>
        <v>0.19047619047619047</v>
      </c>
      <c r="D40" s="345" t="str">
        <f>_xlfn.IFS($C$40&gt;0.7,"Good",$C$40&gt;=0.5,"Satisfactory",$C$40&lt;0.5,"Needs Improvement")</f>
        <v>Needs Improvement</v>
      </c>
      <c r="E40" s="346">
        <f>_xlfn.IFS($D$40="Good", 3, $D$40="Satisfactory", 2, $D$40="Needs Improvement", 1)</f>
        <v>1</v>
      </c>
      <c r="F40" s="344">
        <v>0.15</v>
      </c>
      <c r="G40" s="354" t="s">
        <v>994</v>
      </c>
      <c r="H40" s="344" t="s">
        <v>782</v>
      </c>
      <c r="I40" s="344" t="s">
        <v>783</v>
      </c>
      <c r="J40" s="344" t="s">
        <v>784</v>
      </c>
      <c r="K40" s="342"/>
      <c r="L40" s="352"/>
      <c r="M40" s="350"/>
      <c r="N40" s="351"/>
      <c r="O40" s="342"/>
      <c r="P40" s="343"/>
      <c r="Q40" s="341"/>
      <c r="R40" s="342"/>
    </row>
    <row r="41" spans="1:18" ht="13.95" hidden="1" customHeight="1" x14ac:dyDescent="0.7">
      <c r="A41" s="357"/>
      <c r="B41" s="220" t="s">
        <v>995</v>
      </c>
      <c r="C41" s="344"/>
      <c r="D41" s="345"/>
      <c r="E41" s="346"/>
      <c r="F41" s="344"/>
      <c r="G41" s="355"/>
      <c r="H41" s="344"/>
      <c r="I41" s="344"/>
      <c r="J41" s="344"/>
      <c r="K41" s="342"/>
      <c r="L41" s="352"/>
      <c r="M41" s="350"/>
      <c r="N41" s="351"/>
      <c r="O41" s="342"/>
      <c r="P41" s="343"/>
      <c r="Q41" s="341"/>
      <c r="R41" s="342"/>
    </row>
    <row r="42" spans="1:18" ht="42.6" customHeight="1" x14ac:dyDescent="0.7">
      <c r="A42" s="356" t="s">
        <v>996</v>
      </c>
      <c r="B42" s="220" t="s">
        <v>997</v>
      </c>
      <c r="C42" s="344">
        <f>'DevCoAssessmentInput(D&amp;T)'!$C$43/'DevCoAssessmentInput(D&amp;T)'!$C$42</f>
        <v>0</v>
      </c>
      <c r="D42" s="345" t="str">
        <f>_xlfn.IFS($C$42&gt;0.7,"Good",$C$42&gt;=0.5,"Satisfactory",$C$42&lt;0.5,"Needs Improvement")</f>
        <v>Needs Improvement</v>
      </c>
      <c r="E42" s="346">
        <f>_xlfn.IFS($D$42="Good", 3, $D$42="Satisfactory", 2, $D$42="Needs Improvement", 1)</f>
        <v>1</v>
      </c>
      <c r="F42" s="344">
        <v>1</v>
      </c>
      <c r="G42" s="354" t="s">
        <v>998</v>
      </c>
      <c r="H42" s="344" t="s">
        <v>782</v>
      </c>
      <c r="I42" s="344" t="s">
        <v>783</v>
      </c>
      <c r="J42" s="344" t="s">
        <v>784</v>
      </c>
      <c r="K42" s="342"/>
      <c r="L42" s="352" t="s">
        <v>1028</v>
      </c>
      <c r="M42" s="350">
        <f>($F$42*$E$42)</f>
        <v>1</v>
      </c>
      <c r="N42" s="351">
        <v>0.8</v>
      </c>
      <c r="O42" s="342" t="s">
        <v>1029</v>
      </c>
      <c r="P42" s="343" t="s">
        <v>1030</v>
      </c>
      <c r="Q42" s="341">
        <f>($N$42*$M$42+$N$44*$M$44)</f>
        <v>1</v>
      </c>
      <c r="R42" s="342"/>
    </row>
    <row r="43" spans="1:18" ht="13.95" hidden="1" customHeight="1" x14ac:dyDescent="0.7">
      <c r="A43" s="357"/>
      <c r="B43" s="220" t="s">
        <v>999</v>
      </c>
      <c r="C43" s="344"/>
      <c r="D43" s="345"/>
      <c r="E43" s="346"/>
      <c r="F43" s="344"/>
      <c r="G43" s="355"/>
      <c r="H43" s="344"/>
      <c r="I43" s="344"/>
      <c r="J43" s="344"/>
      <c r="K43" s="342"/>
      <c r="L43" s="352"/>
      <c r="M43" s="350"/>
      <c r="N43" s="351"/>
      <c r="O43" s="342"/>
      <c r="P43" s="343"/>
      <c r="Q43" s="341"/>
      <c r="R43" s="342"/>
    </row>
    <row r="44" spans="1:18" ht="56.4" customHeight="1" x14ac:dyDescent="0.7">
      <c r="A44" s="187" t="s">
        <v>1000</v>
      </c>
      <c r="B44" s="220" t="s">
        <v>1001</v>
      </c>
      <c r="C44" s="228" t="str">
        <f>'DevCoAssessmentInput(D&amp;T)'!$C$44</f>
        <v>No</v>
      </c>
      <c r="D44" s="226" t="str">
        <f>_xlfn.IFS($C$44="Yes","Good",$C$44="No","Needs Improvement")</f>
        <v>Needs Improvement</v>
      </c>
      <c r="E44" s="227">
        <f>_xlfn.IFS($D$44="Good", 3, $D$44="Needs Improvement", 1)</f>
        <v>1</v>
      </c>
      <c r="F44" s="228">
        <v>1</v>
      </c>
      <c r="G44" s="218" t="s">
        <v>1001</v>
      </c>
      <c r="H44" s="228" t="s">
        <v>724</v>
      </c>
      <c r="I44" s="228"/>
      <c r="J44" s="228" t="s">
        <v>739</v>
      </c>
      <c r="K44" s="229"/>
      <c r="L44" s="230" t="s">
        <v>1031</v>
      </c>
      <c r="M44" s="231">
        <f>($F$44*$E$44)</f>
        <v>1</v>
      </c>
      <c r="N44" s="232">
        <v>0.2</v>
      </c>
      <c r="O44" s="229" t="s">
        <v>1029</v>
      </c>
      <c r="P44" s="343"/>
      <c r="Q44" s="341"/>
      <c r="R44" s="342"/>
    </row>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sheetData>
  <sheetProtection algorithmName="SHA-512" hashValue="KNKiuk5//C56N2Uz2ju6KCYTVWSatpzUUv/EtqNlJH6j9JSQMxFe+hnx8HbQvXmBLMLaPMO5ISPBLFbLdnQI+Q==" saltValue="ZDpdyE+KBYaWrr5oHmW9Zw==" spinCount="100000" sheet="1" objects="1" scenarios="1" sort="0" autoFilter="0" pivotTables="0"/>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305" priority="209" stopIfTrue="1" operator="equal">
      <formula>0</formula>
    </cfRule>
    <cfRule type="cellIs" dxfId="304" priority="210" stopIfTrue="1" operator="lessThan">
      <formula>1.5</formula>
    </cfRule>
    <cfRule type="cellIs" dxfId="303" priority="211" stopIfTrue="1" operator="lessThan">
      <formula>2.5</formula>
    </cfRule>
    <cfRule type="cellIs" dxfId="302" priority="212" stopIfTrue="1" operator="greaterThanOrEqual">
      <formula>2.5</formula>
    </cfRule>
  </conditionalFormatting>
  <conditionalFormatting sqref="E6:E44">
    <cfRule type="cellIs" dxfId="301" priority="213" stopIfTrue="1" operator="equal">
      <formula>0</formula>
    </cfRule>
    <cfRule type="cellIs" dxfId="300" priority="214" stopIfTrue="1" operator="lessThan">
      <formula>1.5</formula>
    </cfRule>
    <cfRule type="cellIs" dxfId="299" priority="215" stopIfTrue="1" operator="lessThan">
      <formula>2.5</formula>
    </cfRule>
    <cfRule type="cellIs" dxfId="298" priority="216" stopIfTrue="1" operator="greaterThanOrEqual">
      <formula>2.5</formula>
    </cfRule>
  </conditionalFormatting>
  <conditionalFormatting sqref="M6:M44">
    <cfRule type="cellIs" dxfId="297" priority="217" stopIfTrue="1" operator="equal">
      <formula>0</formula>
    </cfRule>
    <cfRule type="cellIs" dxfId="296" priority="218" stopIfTrue="1" operator="lessThan">
      <formula>1.5</formula>
    </cfRule>
    <cfRule type="cellIs" dxfId="295" priority="219" stopIfTrue="1" operator="lessThan">
      <formula>2.5</formula>
    </cfRule>
    <cfRule type="cellIs" dxfId="294" priority="220" stopIfTrue="1" operator="greaterThanOrEqual">
      <formula>2.5</formula>
    </cfRule>
  </conditionalFormatting>
  <conditionalFormatting sqref="Q6:Q44">
    <cfRule type="cellIs" dxfId="293" priority="221" stopIfTrue="1" operator="equal">
      <formula>0</formula>
    </cfRule>
    <cfRule type="cellIs" dxfId="292" priority="222" stopIfTrue="1" operator="lessThan">
      <formula>1.5</formula>
    </cfRule>
    <cfRule type="cellIs" dxfId="291" priority="223" stopIfTrue="1" operator="lessThan">
      <formula>2.5</formula>
    </cfRule>
    <cfRule type="cellIs" dxfId="290"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88" t="s">
        <v>800</v>
      </c>
      <c r="E5" s="88" t="s">
        <v>801</v>
      </c>
      <c r="F5" s="88" t="s">
        <v>802</v>
      </c>
    </row>
    <row r="6" spans="1:81" ht="54.6" customHeight="1" x14ac:dyDescent="0.7">
      <c r="A6" s="122">
        <f t="shared" ref="A6:A15" si="0">ROW()-5</f>
        <v>1</v>
      </c>
      <c r="B6" s="76" t="s">
        <v>1033</v>
      </c>
      <c r="C6" s="148">
        <v>45786.670138888891</v>
      </c>
      <c r="D6" s="76"/>
      <c r="E6" s="76"/>
      <c r="F6" s="75"/>
    </row>
    <row r="7" spans="1:81" ht="67.95" customHeight="1" x14ac:dyDescent="0.7">
      <c r="A7" s="122">
        <f t="shared" si="0"/>
        <v>2</v>
      </c>
      <c r="B7" s="76" t="s">
        <v>1034</v>
      </c>
      <c r="C7" s="148">
        <v>45786.670138888891</v>
      </c>
      <c r="D7" s="76"/>
      <c r="E7" s="76"/>
      <c r="F7" s="75"/>
    </row>
    <row r="8" spans="1:81" ht="81" customHeight="1" x14ac:dyDescent="0.7">
      <c r="A8" s="122">
        <f t="shared" si="0"/>
        <v>3</v>
      </c>
      <c r="B8" s="76" t="s">
        <v>1035</v>
      </c>
      <c r="C8" s="148">
        <v>45786.670138888891</v>
      </c>
      <c r="D8" s="76"/>
      <c r="E8" s="76"/>
      <c r="F8" s="75"/>
    </row>
    <row r="9" spans="1:81" ht="41.55" customHeight="1" x14ac:dyDescent="0.7">
      <c r="A9" s="122">
        <f t="shared" si="0"/>
        <v>4</v>
      </c>
      <c r="B9" s="76" t="s">
        <v>1036</v>
      </c>
      <c r="C9" s="148">
        <v>45786.670138888891</v>
      </c>
      <c r="D9" s="76"/>
      <c r="E9" s="76"/>
      <c r="F9" s="75"/>
    </row>
    <row r="10" spans="1:81" ht="67.95" customHeight="1" x14ac:dyDescent="0.7">
      <c r="A10" s="122">
        <f t="shared" si="0"/>
        <v>5</v>
      </c>
      <c r="B10" s="76" t="s">
        <v>1037</v>
      </c>
      <c r="C10" s="148">
        <v>45786.670138888891</v>
      </c>
      <c r="D10" s="76"/>
      <c r="E10" s="76"/>
      <c r="F10" s="75"/>
    </row>
    <row r="11" spans="1:81" ht="54.6" customHeight="1" x14ac:dyDescent="0.7">
      <c r="A11" s="120">
        <f t="shared" si="0"/>
        <v>6</v>
      </c>
      <c r="B11" s="76" t="s">
        <v>1038</v>
      </c>
      <c r="C11" s="148">
        <v>45786.670138888891</v>
      </c>
      <c r="D11" s="76"/>
      <c r="E11" s="76"/>
      <c r="F11" s="75"/>
    </row>
    <row r="12" spans="1:81" ht="54.6" customHeight="1" x14ac:dyDescent="0.7">
      <c r="A12" s="120">
        <f t="shared" si="0"/>
        <v>7</v>
      </c>
      <c r="B12" s="75" t="s">
        <v>1039</v>
      </c>
      <c r="C12" s="149">
        <v>45786.670138888891</v>
      </c>
      <c r="D12" s="75"/>
      <c r="E12" s="75"/>
      <c r="F12" s="75"/>
    </row>
    <row r="13" spans="1:81" ht="41.55" customHeight="1" x14ac:dyDescent="0.7">
      <c r="A13" s="120">
        <f t="shared" si="0"/>
        <v>8</v>
      </c>
      <c r="B13" s="75" t="s">
        <v>1040</v>
      </c>
      <c r="C13" s="149">
        <v>45786.670138888891</v>
      </c>
      <c r="D13" s="75"/>
      <c r="E13" s="75"/>
      <c r="F13" s="75"/>
    </row>
    <row r="14" spans="1:81" ht="41.55" customHeight="1" x14ac:dyDescent="0.7">
      <c r="A14" s="120">
        <f t="shared" si="0"/>
        <v>9</v>
      </c>
      <c r="B14" s="75" t="s">
        <v>1041</v>
      </c>
      <c r="C14" s="149">
        <v>45786.670138888891</v>
      </c>
      <c r="D14" s="75"/>
      <c r="E14" s="75"/>
      <c r="F14" s="75"/>
    </row>
    <row r="15" spans="1:81" ht="41.55" customHeight="1" x14ac:dyDescent="0.7">
      <c r="A15" s="120">
        <f t="shared" si="0"/>
        <v>10</v>
      </c>
      <c r="B15" s="75" t="s">
        <v>1042</v>
      </c>
      <c r="C15" s="149">
        <v>45786.670138888891</v>
      </c>
      <c r="D15" s="75"/>
      <c r="E15" s="75"/>
      <c r="F15" s="75"/>
    </row>
    <row r="16" spans="1:81" ht="54.6" customHeight="1" x14ac:dyDescent="0.7">
      <c r="A16" s="120">
        <f t="shared" ref="A16:A23" si="1">ROW()-5</f>
        <v>11</v>
      </c>
      <c r="B16" s="147" t="s">
        <v>1043</v>
      </c>
      <c r="C16" s="150">
        <v>45786.670138888891</v>
      </c>
      <c r="D16" s="147"/>
      <c r="E16" s="147"/>
      <c r="F16" s="75"/>
    </row>
    <row r="17" spans="1:6" ht="81" customHeight="1" x14ac:dyDescent="0.7">
      <c r="A17" s="120">
        <f t="shared" si="1"/>
        <v>12</v>
      </c>
      <c r="B17" s="147" t="s">
        <v>1044</v>
      </c>
      <c r="C17" s="150">
        <v>45786.670138888891</v>
      </c>
      <c r="D17" s="147"/>
      <c r="E17" s="147"/>
      <c r="F17" s="75"/>
    </row>
    <row r="18" spans="1:6" ht="67.95" customHeight="1" x14ac:dyDescent="0.7">
      <c r="A18" s="120">
        <f t="shared" si="1"/>
        <v>13</v>
      </c>
      <c r="B18" s="147" t="s">
        <v>1045</v>
      </c>
      <c r="C18" s="150">
        <v>45786.670138888891</v>
      </c>
      <c r="D18" s="147"/>
      <c r="E18" s="147"/>
      <c r="F18" s="75"/>
    </row>
    <row r="19" spans="1:6" ht="54.6" customHeight="1" x14ac:dyDescent="0.7">
      <c r="A19" s="120">
        <f t="shared" si="1"/>
        <v>14</v>
      </c>
      <c r="B19" s="147" t="s">
        <v>1046</v>
      </c>
      <c r="C19" s="150">
        <v>45786.670138888891</v>
      </c>
      <c r="D19" s="147"/>
      <c r="E19" s="147"/>
      <c r="F19" s="75"/>
    </row>
    <row r="20" spans="1:6" ht="41.55" customHeight="1" x14ac:dyDescent="0.7">
      <c r="A20" s="120">
        <f t="shared" si="1"/>
        <v>15</v>
      </c>
      <c r="B20" s="147" t="s">
        <v>1047</v>
      </c>
      <c r="C20" s="150">
        <v>45786.670138888891</v>
      </c>
      <c r="D20" s="147"/>
      <c r="E20" s="147"/>
      <c r="F20" s="75"/>
    </row>
    <row r="21" spans="1:6" ht="54.6" customHeight="1" x14ac:dyDescent="0.7">
      <c r="A21" s="120">
        <f t="shared" si="1"/>
        <v>16</v>
      </c>
      <c r="B21" s="147" t="s">
        <v>1048</v>
      </c>
      <c r="C21" s="150">
        <v>45786.670138888891</v>
      </c>
      <c r="D21" s="147"/>
      <c r="E21" s="147"/>
      <c r="F21" s="75"/>
    </row>
    <row r="22" spans="1:6" ht="54.6" customHeight="1" x14ac:dyDescent="0.7">
      <c r="A22" s="120">
        <f t="shared" si="1"/>
        <v>17</v>
      </c>
      <c r="B22" s="147" t="s">
        <v>1049</v>
      </c>
      <c r="C22" s="150">
        <v>45786.670138888891</v>
      </c>
      <c r="D22" s="147"/>
      <c r="E22" s="147"/>
      <c r="F22" s="75"/>
    </row>
    <row r="23" spans="1:6" ht="41.55" customHeight="1" x14ac:dyDescent="0.7">
      <c r="A23" s="120">
        <f t="shared" si="1"/>
        <v>18</v>
      </c>
      <c r="B23" s="147" t="s">
        <v>1050</v>
      </c>
      <c r="C23" s="150">
        <v>45786.670138888891</v>
      </c>
      <c r="D23" s="147"/>
      <c r="E23" s="147"/>
      <c r="F23" s="75"/>
    </row>
    <row r="24" spans="1:6" ht="13.95" customHeight="1" x14ac:dyDescent="0.7"/>
    <row r="25" spans="1:6" ht="13.95" customHeight="1" x14ac:dyDescent="0.7"/>
    <row r="26" spans="1:6" ht="13.95" customHeight="1" x14ac:dyDescent="0.7"/>
    <row r="27" spans="1:6" ht="13.95" customHeight="1" x14ac:dyDescent="0.7"/>
    <row r="28" spans="1:6" ht="13.95" customHeight="1" x14ac:dyDescent="0.7"/>
    <row r="29" spans="1:6" ht="13.95" customHeight="1" x14ac:dyDescent="0.7"/>
    <row r="30" spans="1:6" ht="13.95" customHeight="1" x14ac:dyDescent="0.7"/>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RR4c93DC25ly/w4bUBrUNmDyhWImmJMpQQigwhbNDLjexjmopdGP/emLLjVJWeJhySxtIxA3C9oMBnk7qIW7sQ==" saltValue="sPoVZpshbpwnRUcCdM5mb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049999999999997" customHeight="1" x14ac:dyDescent="0.7"/>
  <cols>
    <col min="1" max="1" width="5.69140625" style="41" customWidth="1"/>
    <col min="2" max="2" width="6.4609375" style="213" hidden="1" customWidth="1"/>
    <col min="3" max="3" width="66.69140625" style="82" customWidth="1"/>
    <col min="4" max="4" width="10.69140625" style="83" customWidth="1"/>
    <col min="5" max="5" width="6.4609375" style="82" hidden="1" customWidth="1"/>
    <col min="6" max="6" width="5.69140625" style="77" customWidth="1"/>
    <col min="7" max="81" width="8.69140625" style="77"/>
    <col min="82" max="16384" width="8.69140625" style="41"/>
  </cols>
  <sheetData>
    <row r="1" spans="1:5" s="12" customFormat="1" ht="21" customHeight="1" x14ac:dyDescent="0.7">
      <c r="B1" s="130"/>
      <c r="C1" s="20"/>
      <c r="D1" s="18"/>
      <c r="E1" s="20"/>
    </row>
    <row r="2" spans="1:5" s="12" customFormat="1" ht="21" customHeight="1" x14ac:dyDescent="0.7">
      <c r="A2" s="7" t="s">
        <v>4</v>
      </c>
      <c r="B2" s="7"/>
      <c r="C2" s="42"/>
      <c r="D2" s="24"/>
      <c r="E2" s="42"/>
    </row>
    <row r="3" spans="1:5" s="12" customFormat="1" ht="21" customHeight="1" x14ac:dyDescent="0.7">
      <c r="A3" s="93" t="str" cm="1">
        <f t="array" aca="1" ref="A3" ca="1">MID(CELL("filename",A1),FIND("]",CELL("filename",A1))+1,256)</f>
        <v>AddDataPoint(D&amp;T)</v>
      </c>
      <c r="B3" s="8"/>
      <c r="C3" s="42"/>
      <c r="D3" s="24"/>
      <c r="E3" s="42"/>
    </row>
    <row r="4" spans="1:5" s="12" customFormat="1" ht="4.95" customHeight="1" x14ac:dyDescent="0.7">
      <c r="A4" s="10"/>
      <c r="B4" s="154"/>
      <c r="C4" s="42"/>
      <c r="D4" s="24"/>
      <c r="E4" s="42"/>
    </row>
    <row r="5" spans="1:5" s="85" customFormat="1" ht="43.2" customHeight="1" x14ac:dyDescent="0.7">
      <c r="A5" s="70" t="s">
        <v>5</v>
      </c>
      <c r="B5" s="71" t="s">
        <v>813</v>
      </c>
      <c r="C5" s="71" t="s">
        <v>814</v>
      </c>
      <c r="D5" s="71" t="s">
        <v>760</v>
      </c>
      <c r="E5" s="72" t="s">
        <v>815</v>
      </c>
    </row>
    <row r="6" spans="1:5" ht="42.6" customHeight="1" x14ac:dyDescent="0.7">
      <c r="A6" s="120">
        <f>IF($C6="","",SUBTOTAL(3,$C$6:$C6)*1)</f>
        <v>1</v>
      </c>
      <c r="B6" s="237"/>
      <c r="C6" s="238" t="s">
        <v>1051</v>
      </c>
      <c r="D6" s="160" t="s">
        <v>1052</v>
      </c>
      <c r="E6" s="239" t="s">
        <v>854</v>
      </c>
    </row>
    <row r="7" spans="1:5" ht="42.6" customHeight="1" x14ac:dyDescent="0.7">
      <c r="A7" s="120">
        <f>IF($C7="","",SUBTOTAL(3,$C$6:$C7)*1)</f>
        <v>2</v>
      </c>
      <c r="B7" s="237"/>
      <c r="C7" s="238" t="s">
        <v>1053</v>
      </c>
      <c r="D7" s="160" t="s">
        <v>1054</v>
      </c>
      <c r="E7" s="239" t="s">
        <v>854</v>
      </c>
    </row>
    <row r="8" spans="1:5" ht="28.95" customHeight="1" x14ac:dyDescent="0.7">
      <c r="A8" s="120">
        <f>IF($C8="","",SUBTOTAL(3,$C$6:$C8)*1)</f>
        <v>3</v>
      </c>
      <c r="B8" s="237"/>
      <c r="C8" s="238" t="s">
        <v>1055</v>
      </c>
      <c r="D8" s="160"/>
      <c r="E8" s="239"/>
    </row>
    <row r="9" spans="1:5" ht="28.95" customHeight="1" x14ac:dyDescent="0.7">
      <c r="A9" s="120">
        <f>IF($C9="","",SUBTOTAL(3,$C$6:$C9)*1)</f>
        <v>4</v>
      </c>
      <c r="B9" s="237"/>
      <c r="C9" s="238" t="s">
        <v>1056</v>
      </c>
      <c r="D9" s="160"/>
      <c r="E9" s="239"/>
    </row>
    <row r="10" spans="1:5" ht="13.95" customHeight="1" x14ac:dyDescent="0.7"/>
    <row r="11" spans="1:5" ht="13.95" customHeight="1" x14ac:dyDescent="0.7"/>
    <row r="12" spans="1:5" ht="13.95" customHeight="1" x14ac:dyDescent="0.7"/>
    <row r="13" spans="1:5" ht="13.95" customHeight="1" x14ac:dyDescent="0.7"/>
    <row r="14" spans="1:5" ht="13.95" customHeight="1" x14ac:dyDescent="0.7"/>
    <row r="15" spans="1:5" ht="13.95" customHeight="1" x14ac:dyDescent="0.7"/>
    <row r="16" spans="1:5"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21" style="216" hidden="1" customWidth="1"/>
    <col min="10" max="10" width="11.69140625" style="207" customWidth="1"/>
    <col min="11"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05" customHeight="1" x14ac:dyDescent="0.7">
      <c r="A5" s="30" t="s">
        <v>691</v>
      </c>
      <c r="B5" s="30" t="s">
        <v>692</v>
      </c>
      <c r="C5" s="30" t="s">
        <v>693</v>
      </c>
      <c r="D5" s="57" t="s">
        <v>694</v>
      </c>
      <c r="E5" s="33" t="s">
        <v>695</v>
      </c>
      <c r="F5" s="58" t="s">
        <v>696</v>
      </c>
      <c r="G5" s="33" t="s">
        <v>697</v>
      </c>
      <c r="H5" s="58" t="s">
        <v>698</v>
      </c>
      <c r="I5" s="33" t="s">
        <v>699</v>
      </c>
    </row>
    <row r="6" spans="1:81" ht="57" customHeight="1" x14ac:dyDescent="0.7">
      <c r="A6" s="356" t="s">
        <v>1057</v>
      </c>
      <c r="B6" s="218" t="s">
        <v>1058</v>
      </c>
      <c r="C6" s="161">
        <v>10</v>
      </c>
      <c r="D6" s="141"/>
      <c r="E6" s="62"/>
      <c r="F6" s="222"/>
      <c r="G6" s="62"/>
      <c r="H6" s="222"/>
      <c r="I6" s="337" t="s">
        <v>1059</v>
      </c>
    </row>
    <row r="7" spans="1:81" ht="57" customHeight="1" x14ac:dyDescent="0.7">
      <c r="A7" s="357"/>
      <c r="B7" s="218" t="s">
        <v>1060</v>
      </c>
      <c r="C7" s="161">
        <v>20</v>
      </c>
      <c r="D7" s="141"/>
      <c r="E7" s="62"/>
      <c r="F7" s="222"/>
      <c r="G7" s="62"/>
      <c r="H7" s="222"/>
      <c r="I7" s="337"/>
    </row>
    <row r="8" spans="1:81" ht="78" customHeight="1" x14ac:dyDescent="0.7">
      <c r="A8" s="187" t="s">
        <v>1061</v>
      </c>
      <c r="B8" s="218" t="s">
        <v>1062</v>
      </c>
      <c r="C8" s="161" t="s">
        <v>724</v>
      </c>
      <c r="D8" s="141"/>
      <c r="E8" s="62"/>
      <c r="F8" s="222"/>
      <c r="G8" s="62"/>
      <c r="H8" s="222"/>
      <c r="I8" s="220" t="s">
        <v>1062</v>
      </c>
    </row>
    <row r="9" spans="1:81" ht="57" customHeight="1" x14ac:dyDescent="0.7">
      <c r="A9" s="187" t="s">
        <v>1063</v>
      </c>
      <c r="B9" s="218" t="s">
        <v>1064</v>
      </c>
      <c r="C9" s="161" t="s">
        <v>739</v>
      </c>
      <c r="D9" s="141"/>
      <c r="E9" s="62" t="s">
        <v>1065</v>
      </c>
      <c r="F9" s="222"/>
      <c r="G9" s="62"/>
      <c r="H9" s="222"/>
      <c r="I9" s="220" t="s">
        <v>1066</v>
      </c>
    </row>
    <row r="10" spans="1:81" ht="78" customHeight="1" x14ac:dyDescent="0.7">
      <c r="A10" s="356" t="s">
        <v>1067</v>
      </c>
      <c r="B10" s="218" t="s">
        <v>1068</v>
      </c>
      <c r="C10" s="161" t="s">
        <v>1069</v>
      </c>
      <c r="D10" s="141"/>
      <c r="E10" s="62"/>
      <c r="F10" s="222"/>
      <c r="G10" s="62"/>
      <c r="H10" s="222"/>
      <c r="I10" s="337" t="s">
        <v>1070</v>
      </c>
    </row>
    <row r="11" spans="1:81" ht="78" customHeight="1" x14ac:dyDescent="0.7">
      <c r="A11" s="357"/>
      <c r="B11" s="218" t="s">
        <v>1071</v>
      </c>
      <c r="C11" s="161" t="s">
        <v>739</v>
      </c>
      <c r="D11" s="141"/>
      <c r="E11" s="62"/>
      <c r="F11" s="222"/>
      <c r="G11" s="62"/>
      <c r="H11" s="222"/>
      <c r="I11" s="337"/>
    </row>
    <row r="12" spans="1:81" ht="57" customHeight="1" x14ac:dyDescent="0.7">
      <c r="A12" s="187" t="s">
        <v>1072</v>
      </c>
      <c r="B12" s="218" t="s">
        <v>1073</v>
      </c>
      <c r="C12" s="161" t="s">
        <v>724</v>
      </c>
      <c r="D12" s="141"/>
      <c r="E12" s="62" t="s">
        <v>1065</v>
      </c>
      <c r="F12" s="222"/>
      <c r="G12" s="62"/>
      <c r="H12" s="222"/>
      <c r="I12" s="220" t="s">
        <v>1074</v>
      </c>
    </row>
    <row r="13" spans="1:81" ht="57" customHeight="1" x14ac:dyDescent="0.7">
      <c r="A13" s="187" t="s">
        <v>1075</v>
      </c>
      <c r="B13" s="218" t="s">
        <v>1076</v>
      </c>
      <c r="C13" s="162">
        <v>45741</v>
      </c>
      <c r="D13" s="141" t="s">
        <v>229</v>
      </c>
      <c r="E13" s="62"/>
      <c r="F13" s="222"/>
      <c r="G13" s="62"/>
      <c r="H13" s="222"/>
      <c r="I13" s="220" t="s">
        <v>1077</v>
      </c>
    </row>
    <row r="14" spans="1:81" ht="57" customHeight="1" x14ac:dyDescent="0.7">
      <c r="A14" s="356" t="s">
        <v>1078</v>
      </c>
      <c r="B14" s="218" t="s">
        <v>1079</v>
      </c>
      <c r="C14" s="161">
        <v>5</v>
      </c>
      <c r="D14" s="141"/>
      <c r="E14" s="62"/>
      <c r="F14" s="222"/>
      <c r="G14" s="62"/>
      <c r="H14" s="222"/>
      <c r="I14" s="337" t="s">
        <v>1080</v>
      </c>
    </row>
    <row r="15" spans="1:81" ht="57" customHeight="1" x14ac:dyDescent="0.7">
      <c r="A15" s="357"/>
      <c r="B15" s="218" t="s">
        <v>1081</v>
      </c>
      <c r="C15" s="161">
        <v>100</v>
      </c>
      <c r="D15" s="141"/>
      <c r="E15" s="62"/>
      <c r="F15" s="222"/>
      <c r="G15" s="62"/>
      <c r="H15" s="222"/>
      <c r="I15" s="337"/>
    </row>
    <row r="16" spans="1:81" ht="57" customHeight="1" x14ac:dyDescent="0.7">
      <c r="A16" s="356" t="s">
        <v>1082</v>
      </c>
      <c r="B16" s="218" t="s">
        <v>1083</v>
      </c>
      <c r="C16" s="161">
        <v>10000</v>
      </c>
      <c r="D16" s="141"/>
      <c r="E16" s="62"/>
      <c r="F16" s="222"/>
      <c r="G16" s="62"/>
      <c r="H16" s="222"/>
      <c r="I16" s="337" t="s">
        <v>1084</v>
      </c>
    </row>
    <row r="17" spans="1:9" ht="36" customHeight="1" x14ac:dyDescent="0.7">
      <c r="A17" s="357"/>
      <c r="B17" s="218" t="s">
        <v>1085</v>
      </c>
      <c r="C17" s="161">
        <v>11000</v>
      </c>
      <c r="D17" s="141"/>
      <c r="E17" s="62"/>
      <c r="F17" s="222"/>
      <c r="G17" s="62"/>
      <c r="H17" s="222"/>
      <c r="I17" s="337"/>
    </row>
    <row r="18" spans="1:9" ht="57" customHeight="1" x14ac:dyDescent="0.7">
      <c r="A18" s="356" t="s">
        <v>1086</v>
      </c>
      <c r="B18" s="218" t="s">
        <v>1087</v>
      </c>
      <c r="C18" s="161">
        <v>6</v>
      </c>
      <c r="D18" s="141"/>
      <c r="E18" s="62"/>
      <c r="F18" s="222"/>
      <c r="G18" s="62"/>
      <c r="H18" s="222"/>
      <c r="I18" s="337" t="s">
        <v>1088</v>
      </c>
    </row>
    <row r="19" spans="1:9" ht="36" customHeight="1" x14ac:dyDescent="0.7">
      <c r="A19" s="357"/>
      <c r="B19" s="218" t="s">
        <v>1089</v>
      </c>
      <c r="C19" s="161">
        <v>6</v>
      </c>
      <c r="D19" s="141"/>
      <c r="E19" s="62"/>
      <c r="F19" s="222"/>
      <c r="G19" s="62"/>
      <c r="H19" s="222"/>
      <c r="I19" s="337"/>
    </row>
    <row r="20" spans="1:9" ht="157.80000000000001" customHeight="1" x14ac:dyDescent="0.7">
      <c r="A20" s="356" t="s">
        <v>1090</v>
      </c>
      <c r="B20" s="218" t="s">
        <v>1091</v>
      </c>
      <c r="C20" s="161">
        <v>3</v>
      </c>
      <c r="D20" s="141" t="s">
        <v>481</v>
      </c>
      <c r="E20" s="62" t="s">
        <v>1092</v>
      </c>
      <c r="F20" s="222"/>
      <c r="G20" s="62"/>
      <c r="H20" s="222"/>
      <c r="I20" s="337" t="s">
        <v>1093</v>
      </c>
    </row>
    <row r="21" spans="1:9" ht="57" customHeight="1" x14ac:dyDescent="0.7">
      <c r="A21" s="357"/>
      <c r="B21" s="218" t="s">
        <v>1094</v>
      </c>
      <c r="C21" s="161">
        <v>4</v>
      </c>
      <c r="D21" s="141" t="s">
        <v>303</v>
      </c>
      <c r="E21" s="62"/>
      <c r="F21" s="222"/>
      <c r="G21" s="62"/>
      <c r="H21" s="222"/>
      <c r="I21" s="337"/>
    </row>
    <row r="22" spans="1:9" ht="57" customHeight="1" x14ac:dyDescent="0.7">
      <c r="A22" s="356" t="s">
        <v>1095</v>
      </c>
      <c r="B22" s="218" t="s">
        <v>1096</v>
      </c>
      <c r="C22" s="161" t="s">
        <v>724</v>
      </c>
      <c r="D22" s="141"/>
      <c r="E22" s="62"/>
      <c r="F22" s="222"/>
      <c r="G22" s="62"/>
      <c r="H22" s="222"/>
      <c r="I22" s="337" t="s">
        <v>1097</v>
      </c>
    </row>
    <row r="23" spans="1:9" ht="36" customHeight="1" x14ac:dyDescent="0.7">
      <c r="A23" s="357"/>
      <c r="B23" s="218" t="s">
        <v>1098</v>
      </c>
      <c r="C23" s="161" t="s">
        <v>724</v>
      </c>
      <c r="D23" s="141"/>
      <c r="E23" s="62"/>
      <c r="F23" s="222"/>
      <c r="G23" s="62"/>
      <c r="H23" s="222"/>
      <c r="I23" s="337"/>
    </row>
    <row r="24" spans="1:9" ht="36" customHeight="1" x14ac:dyDescent="0.7">
      <c r="A24" s="356" t="s">
        <v>1099</v>
      </c>
      <c r="B24" s="218" t="s">
        <v>1100</v>
      </c>
      <c r="C24" s="161">
        <v>14760</v>
      </c>
      <c r="D24" s="141"/>
      <c r="E24" s="62"/>
      <c r="F24" s="222"/>
      <c r="G24" s="62"/>
      <c r="H24" s="222"/>
      <c r="I24" s="337" t="s">
        <v>1101</v>
      </c>
    </row>
    <row r="25" spans="1:9" ht="57" customHeight="1" x14ac:dyDescent="0.7">
      <c r="A25" s="357"/>
      <c r="B25" s="218" t="s">
        <v>1102</v>
      </c>
      <c r="C25" s="161">
        <v>13970</v>
      </c>
      <c r="D25" s="141"/>
      <c r="E25" s="62"/>
      <c r="F25" s="222"/>
      <c r="G25" s="62"/>
      <c r="H25" s="222"/>
      <c r="I25" s="337"/>
    </row>
    <row r="26" spans="1:9" ht="57" customHeight="1" x14ac:dyDescent="0.7">
      <c r="A26" s="356" t="s">
        <v>1103</v>
      </c>
      <c r="B26" s="218" t="s">
        <v>1104</v>
      </c>
      <c r="C26" s="161">
        <v>1000</v>
      </c>
      <c r="D26" s="141"/>
      <c r="E26" s="62"/>
      <c r="F26" s="222"/>
      <c r="G26" s="62"/>
      <c r="H26" s="222"/>
      <c r="I26" s="337" t="s">
        <v>1105</v>
      </c>
    </row>
    <row r="27" spans="1:9" ht="57" customHeight="1" x14ac:dyDescent="0.7">
      <c r="A27" s="357"/>
      <c r="B27" s="218" t="s">
        <v>1106</v>
      </c>
      <c r="C27" s="161">
        <v>986</v>
      </c>
      <c r="D27" s="141"/>
      <c r="E27" s="62"/>
      <c r="F27" s="222"/>
      <c r="G27" s="62"/>
      <c r="H27" s="222"/>
      <c r="I27" s="337"/>
    </row>
    <row r="28" spans="1:9" ht="57" customHeight="1" x14ac:dyDescent="0.7">
      <c r="A28" s="356" t="s">
        <v>1107</v>
      </c>
      <c r="B28" s="218" t="s">
        <v>1108</v>
      </c>
      <c r="C28" s="161">
        <v>500</v>
      </c>
      <c r="D28" s="141"/>
      <c r="E28" s="62"/>
      <c r="F28" s="222"/>
      <c r="G28" s="62"/>
      <c r="H28" s="222"/>
      <c r="I28" s="337" t="s">
        <v>1109</v>
      </c>
    </row>
    <row r="29" spans="1:9" ht="36" customHeight="1" x14ac:dyDescent="0.7">
      <c r="A29" s="357"/>
      <c r="B29" s="218" t="s">
        <v>1110</v>
      </c>
      <c r="C29" s="161">
        <v>475</v>
      </c>
      <c r="D29" s="141"/>
      <c r="E29" s="62"/>
      <c r="F29" s="222"/>
      <c r="G29" s="62"/>
      <c r="H29" s="222"/>
      <c r="I29" s="337"/>
    </row>
    <row r="30" spans="1:9" ht="36" customHeight="1" x14ac:dyDescent="0.7">
      <c r="A30" s="356" t="s">
        <v>1111</v>
      </c>
      <c r="B30" s="218" t="s">
        <v>1112</v>
      </c>
      <c r="C30" s="161">
        <v>120</v>
      </c>
      <c r="D30" s="141"/>
      <c r="E30" s="62"/>
      <c r="F30" s="222"/>
      <c r="G30" s="62"/>
      <c r="H30" s="222"/>
      <c r="I30" s="337" t="s">
        <v>1113</v>
      </c>
    </row>
    <row r="31" spans="1:9" ht="36" customHeight="1" x14ac:dyDescent="0.7">
      <c r="A31" s="357"/>
      <c r="B31" s="218" t="s">
        <v>1114</v>
      </c>
      <c r="C31" s="161">
        <v>118</v>
      </c>
      <c r="D31" s="141"/>
      <c r="E31" s="62"/>
      <c r="F31" s="222"/>
      <c r="G31" s="62"/>
      <c r="H31" s="222"/>
      <c r="I31" s="337"/>
    </row>
    <row r="32" spans="1:9" ht="36" customHeight="1" x14ac:dyDescent="0.7">
      <c r="A32" s="187" t="s">
        <v>1115</v>
      </c>
      <c r="B32" s="218" t="s">
        <v>1116</v>
      </c>
      <c r="C32" s="161">
        <v>110</v>
      </c>
      <c r="D32" s="141"/>
      <c r="E32" s="62"/>
      <c r="F32" s="222"/>
      <c r="G32" s="62"/>
      <c r="H32" s="222"/>
      <c r="I32" s="220" t="s">
        <v>1117</v>
      </c>
    </row>
    <row r="33" spans="1:9" ht="36" customHeight="1" x14ac:dyDescent="0.7">
      <c r="A33" s="356" t="s">
        <v>1118</v>
      </c>
      <c r="B33" s="218" t="s">
        <v>1119</v>
      </c>
      <c r="C33" s="161">
        <v>350</v>
      </c>
      <c r="D33" s="141"/>
      <c r="E33" s="62"/>
      <c r="F33" s="222"/>
      <c r="G33" s="62"/>
      <c r="H33" s="222"/>
      <c r="I33" s="337" t="s">
        <v>1120</v>
      </c>
    </row>
    <row r="34" spans="1:9" ht="36" customHeight="1" x14ac:dyDescent="0.7">
      <c r="A34" s="357"/>
      <c r="B34" s="218" t="s">
        <v>1121</v>
      </c>
      <c r="C34" s="161">
        <v>340</v>
      </c>
      <c r="D34" s="141"/>
      <c r="E34" s="62"/>
      <c r="F34" s="222"/>
      <c r="G34" s="62"/>
      <c r="H34" s="222"/>
      <c r="I34" s="337"/>
    </row>
    <row r="35" spans="1:9" ht="36" customHeight="1" x14ac:dyDescent="0.7">
      <c r="A35" s="187" t="s">
        <v>1122</v>
      </c>
      <c r="B35" s="218" t="s">
        <v>1123</v>
      </c>
      <c r="C35" s="161">
        <v>335</v>
      </c>
      <c r="D35" s="141"/>
      <c r="E35" s="62"/>
      <c r="F35" s="222"/>
      <c r="G35" s="62"/>
      <c r="H35" s="222"/>
      <c r="I35" s="220" t="s">
        <v>1124</v>
      </c>
    </row>
    <row r="36" spans="1:9" ht="57" customHeight="1" x14ac:dyDescent="0.7">
      <c r="A36" s="187" t="s">
        <v>1125</v>
      </c>
      <c r="B36" s="218" t="s">
        <v>1126</v>
      </c>
      <c r="C36" s="161" t="s">
        <v>724</v>
      </c>
      <c r="D36" s="141"/>
      <c r="E36" s="62"/>
      <c r="F36" s="222"/>
      <c r="G36" s="62"/>
      <c r="H36" s="222"/>
      <c r="I36" s="220" t="s">
        <v>1127</v>
      </c>
    </row>
    <row r="37" spans="1:9" ht="36" customHeight="1" x14ac:dyDescent="0.7">
      <c r="A37" s="356" t="s">
        <v>1128</v>
      </c>
      <c r="B37" s="218" t="s">
        <v>1129</v>
      </c>
      <c r="C37" s="161">
        <v>150</v>
      </c>
      <c r="D37" s="141"/>
      <c r="E37" s="62"/>
      <c r="F37" s="222"/>
      <c r="G37" s="62"/>
      <c r="H37" s="222"/>
      <c r="I37" s="337" t="s">
        <v>1130</v>
      </c>
    </row>
    <row r="38" spans="1:9" ht="36" customHeight="1" x14ac:dyDescent="0.7">
      <c r="A38" s="357"/>
      <c r="B38" s="218" t="s">
        <v>1131</v>
      </c>
      <c r="C38" s="161">
        <v>145</v>
      </c>
      <c r="D38" s="141"/>
      <c r="E38" s="62"/>
      <c r="F38" s="222"/>
      <c r="G38" s="62"/>
      <c r="H38" s="222"/>
      <c r="I38" s="337"/>
    </row>
    <row r="39" spans="1:9" ht="36" customHeight="1" x14ac:dyDescent="0.7">
      <c r="A39" s="187" t="s">
        <v>1132</v>
      </c>
      <c r="B39" s="218" t="s">
        <v>1133</v>
      </c>
      <c r="C39" s="161">
        <v>23</v>
      </c>
      <c r="D39" s="141"/>
      <c r="E39" s="62"/>
      <c r="F39" s="222"/>
      <c r="G39" s="62"/>
      <c r="H39" s="222"/>
      <c r="I39" s="220" t="s">
        <v>1134</v>
      </c>
    </row>
    <row r="40" spans="1:9" ht="57" customHeight="1" x14ac:dyDescent="0.7">
      <c r="A40" s="356" t="s">
        <v>1135</v>
      </c>
      <c r="B40" s="218" t="s">
        <v>1136</v>
      </c>
      <c r="C40" s="161">
        <v>100</v>
      </c>
      <c r="D40" s="141"/>
      <c r="E40" s="62"/>
      <c r="F40" s="222"/>
      <c r="G40" s="62"/>
      <c r="H40" s="222"/>
      <c r="I40" s="337" t="s">
        <v>1137</v>
      </c>
    </row>
    <row r="41" spans="1:9" ht="36" customHeight="1" x14ac:dyDescent="0.7">
      <c r="A41" s="357"/>
      <c r="B41" s="218" t="s">
        <v>1138</v>
      </c>
      <c r="C41" s="161">
        <v>86</v>
      </c>
      <c r="D41" s="141"/>
      <c r="E41" s="62"/>
      <c r="F41" s="222"/>
      <c r="G41" s="62"/>
      <c r="H41" s="222"/>
      <c r="I41" s="337"/>
    </row>
    <row r="42" spans="1:9" ht="78" customHeight="1" x14ac:dyDescent="0.7">
      <c r="A42" s="356" t="s">
        <v>1139</v>
      </c>
      <c r="B42" s="218" t="s">
        <v>1140</v>
      </c>
      <c r="C42" s="161">
        <v>800</v>
      </c>
      <c r="D42" s="141"/>
      <c r="E42" s="62"/>
      <c r="F42" s="222"/>
      <c r="G42" s="62"/>
      <c r="H42" s="222"/>
      <c r="I42" s="337" t="s">
        <v>1141</v>
      </c>
    </row>
    <row r="43" spans="1:9" ht="99" customHeight="1" x14ac:dyDescent="0.7">
      <c r="A43" s="357"/>
      <c r="B43" s="218" t="s">
        <v>1142</v>
      </c>
      <c r="C43" s="161">
        <v>700</v>
      </c>
      <c r="D43" s="141"/>
      <c r="E43" s="62"/>
      <c r="F43" s="222"/>
      <c r="G43" s="62"/>
      <c r="H43" s="222"/>
      <c r="I43" s="337"/>
    </row>
    <row r="44" spans="1:9" ht="57" customHeight="1" x14ac:dyDescent="0.7">
      <c r="A44" s="356" t="s">
        <v>1143</v>
      </c>
      <c r="B44" s="218" t="s">
        <v>1144</v>
      </c>
      <c r="C44" s="161">
        <v>0.5</v>
      </c>
      <c r="D44" s="141"/>
      <c r="E44" s="62"/>
      <c r="F44" s="222"/>
      <c r="G44" s="62"/>
      <c r="H44" s="222"/>
      <c r="I44" s="337" t="s">
        <v>1145</v>
      </c>
    </row>
    <row r="45" spans="1:9" ht="78" customHeight="1" x14ac:dyDescent="0.7">
      <c r="A45" s="357"/>
      <c r="B45" s="218" t="s">
        <v>1146</v>
      </c>
      <c r="C45" s="161">
        <v>0.3</v>
      </c>
      <c r="D45" s="141"/>
      <c r="E45" s="62"/>
      <c r="F45" s="222"/>
      <c r="G45" s="62"/>
      <c r="H45" s="222"/>
      <c r="I45" s="337"/>
    </row>
    <row r="46" spans="1:9" ht="57" customHeight="1" x14ac:dyDescent="0.7">
      <c r="A46" s="356" t="s">
        <v>1147</v>
      </c>
      <c r="B46" s="218" t="s">
        <v>1148</v>
      </c>
      <c r="C46" s="161">
        <v>0.9</v>
      </c>
      <c r="D46" s="141"/>
      <c r="E46" s="62"/>
      <c r="F46" s="222"/>
      <c r="G46" s="62"/>
      <c r="H46" s="222"/>
      <c r="I46" s="337" t="s">
        <v>1149</v>
      </c>
    </row>
    <row r="47" spans="1:9" ht="36" customHeight="1" x14ac:dyDescent="0.7">
      <c r="A47" s="357"/>
      <c r="B47" s="218" t="s">
        <v>1150</v>
      </c>
      <c r="C47" s="161">
        <v>0.7</v>
      </c>
      <c r="D47" s="141"/>
      <c r="E47" s="62"/>
      <c r="F47" s="222"/>
      <c r="G47" s="62"/>
      <c r="H47" s="222"/>
      <c r="I47" s="337"/>
    </row>
    <row r="48" spans="1:9" ht="157.80000000000001" customHeight="1" x14ac:dyDescent="0.7">
      <c r="A48" s="187" t="s">
        <v>1151</v>
      </c>
      <c r="B48" s="218" t="s">
        <v>1152</v>
      </c>
      <c r="C48" s="161" t="s">
        <v>724</v>
      </c>
      <c r="D48" s="141" t="s">
        <v>523</v>
      </c>
      <c r="E48" s="62" t="s">
        <v>1153</v>
      </c>
      <c r="F48" s="222"/>
      <c r="G48" s="62"/>
      <c r="H48" s="222"/>
      <c r="I48" s="220" t="s">
        <v>1154</v>
      </c>
    </row>
    <row r="49" spans="1:9" ht="57" customHeight="1" x14ac:dyDescent="0.7">
      <c r="A49" s="356" t="s">
        <v>1155</v>
      </c>
      <c r="B49" s="218" t="s">
        <v>1156</v>
      </c>
      <c r="C49" s="161">
        <v>186</v>
      </c>
      <c r="D49" s="141"/>
      <c r="E49" s="62"/>
      <c r="F49" s="222"/>
      <c r="G49" s="62"/>
      <c r="H49" s="222"/>
      <c r="I49" s="337" t="s">
        <v>1157</v>
      </c>
    </row>
    <row r="50" spans="1:9" ht="57" customHeight="1" x14ac:dyDescent="0.7">
      <c r="A50" s="357"/>
      <c r="B50" s="218" t="s">
        <v>1158</v>
      </c>
      <c r="C50" s="161">
        <v>129</v>
      </c>
      <c r="D50" s="141"/>
      <c r="E50" s="62"/>
      <c r="F50" s="222"/>
      <c r="G50" s="62"/>
      <c r="H50" s="222"/>
      <c r="I50" s="337"/>
    </row>
    <row r="51" spans="1:9" ht="57" customHeight="1" x14ac:dyDescent="0.7">
      <c r="A51" s="356" t="s">
        <v>1159</v>
      </c>
      <c r="B51" s="218" t="s">
        <v>1160</v>
      </c>
      <c r="C51" s="161">
        <v>35.32</v>
      </c>
      <c r="D51" s="141"/>
      <c r="E51" s="62"/>
      <c r="F51" s="222"/>
      <c r="G51" s="62"/>
      <c r="H51" s="222"/>
      <c r="I51" s="337" t="s">
        <v>1161</v>
      </c>
    </row>
    <row r="52" spans="1:9" ht="36" customHeight="1" x14ac:dyDescent="0.7">
      <c r="A52" s="357"/>
      <c r="B52" s="218" t="s">
        <v>1162</v>
      </c>
      <c r="C52" s="161">
        <v>32.1</v>
      </c>
      <c r="D52" s="141"/>
      <c r="E52" s="62"/>
      <c r="F52" s="222"/>
      <c r="G52" s="62"/>
      <c r="H52" s="222"/>
      <c r="I52" s="337"/>
    </row>
    <row r="53" spans="1:9" ht="36" customHeight="1" x14ac:dyDescent="0.7">
      <c r="A53" s="187" t="s">
        <v>1163</v>
      </c>
      <c r="B53" s="218" t="s">
        <v>1164</v>
      </c>
      <c r="C53" s="161">
        <v>10</v>
      </c>
      <c r="D53" s="141"/>
      <c r="E53" s="62"/>
      <c r="F53" s="222"/>
      <c r="G53" s="62"/>
      <c r="H53" s="222"/>
      <c r="I53" s="220" t="s">
        <v>1165</v>
      </c>
    </row>
    <row r="54" spans="1:9" ht="78" customHeight="1" x14ac:dyDescent="0.7">
      <c r="A54" s="187" t="s">
        <v>1166</v>
      </c>
      <c r="B54" s="218" t="s">
        <v>1167</v>
      </c>
      <c r="C54" s="161" t="s">
        <v>724</v>
      </c>
      <c r="D54" s="141"/>
      <c r="E54" s="62"/>
      <c r="F54" s="222"/>
      <c r="G54" s="62"/>
      <c r="H54" s="222"/>
      <c r="I54" s="220" t="s">
        <v>1167</v>
      </c>
    </row>
    <row r="55" spans="1:9" ht="78" customHeight="1" x14ac:dyDescent="0.7">
      <c r="A55" s="187" t="s">
        <v>1168</v>
      </c>
      <c r="B55" s="218" t="s">
        <v>1169</v>
      </c>
      <c r="C55" s="161" t="s">
        <v>739</v>
      </c>
      <c r="D55" s="141"/>
      <c r="E55" s="62"/>
      <c r="F55" s="222"/>
      <c r="G55" s="62"/>
      <c r="H55" s="222"/>
      <c r="I55" s="220" t="s">
        <v>1170</v>
      </c>
    </row>
    <row r="56" spans="1:9" ht="78" customHeight="1" x14ac:dyDescent="0.7">
      <c r="A56" s="187" t="s">
        <v>1171</v>
      </c>
      <c r="B56" s="218" t="s">
        <v>1172</v>
      </c>
      <c r="C56" s="161" t="s">
        <v>724</v>
      </c>
      <c r="D56" s="141"/>
      <c r="E56" s="62"/>
      <c r="F56" s="222"/>
      <c r="G56" s="62"/>
      <c r="H56" s="222"/>
      <c r="I56" s="220" t="s">
        <v>1173</v>
      </c>
    </row>
    <row r="57" spans="1:9" ht="78" customHeight="1" x14ac:dyDescent="0.7">
      <c r="A57" s="187" t="s">
        <v>1174</v>
      </c>
      <c r="B57" s="218" t="s">
        <v>1175</v>
      </c>
      <c r="C57" s="161" t="s">
        <v>724</v>
      </c>
      <c r="D57" s="141"/>
      <c r="E57" s="62"/>
      <c r="F57" s="222"/>
      <c r="G57" s="62"/>
      <c r="H57" s="222"/>
      <c r="I57" s="220" t="s">
        <v>1176</v>
      </c>
    </row>
    <row r="58" spans="1:9" ht="36" customHeight="1" x14ac:dyDescent="0.7">
      <c r="A58" s="356" t="s">
        <v>1177</v>
      </c>
      <c r="B58" s="218" t="s">
        <v>1178</v>
      </c>
      <c r="C58" s="161">
        <v>0.9</v>
      </c>
      <c r="D58" s="141"/>
      <c r="E58" s="62"/>
      <c r="F58" s="222"/>
      <c r="G58" s="62"/>
      <c r="H58" s="222"/>
      <c r="I58" s="337" t="s">
        <v>1179</v>
      </c>
    </row>
    <row r="59" spans="1:9" ht="36" customHeight="1" x14ac:dyDescent="0.7">
      <c r="A59" s="357"/>
      <c r="B59" s="218" t="s">
        <v>1180</v>
      </c>
      <c r="C59" s="161">
        <v>0.75</v>
      </c>
      <c r="D59" s="141"/>
      <c r="E59" s="62"/>
      <c r="F59" s="222"/>
      <c r="G59" s="62"/>
      <c r="H59" s="222"/>
      <c r="I59" s="337"/>
    </row>
    <row r="60" spans="1:9" ht="36" customHeight="1" x14ac:dyDescent="0.7">
      <c r="A60" s="187" t="s">
        <v>1181</v>
      </c>
      <c r="B60" s="218" t="s">
        <v>1182</v>
      </c>
      <c r="C60" s="161" t="s">
        <v>1183</v>
      </c>
      <c r="D60" s="141"/>
      <c r="E60" s="62"/>
      <c r="F60" s="222"/>
      <c r="G60" s="62"/>
      <c r="H60" s="222"/>
      <c r="I60" s="220" t="s">
        <v>1184</v>
      </c>
    </row>
    <row r="61" spans="1:9" ht="36" customHeight="1" x14ac:dyDescent="0.7">
      <c r="A61" s="356" t="s">
        <v>1185</v>
      </c>
      <c r="B61" s="218" t="s">
        <v>1186</v>
      </c>
      <c r="C61" s="161">
        <v>20</v>
      </c>
      <c r="D61" s="141"/>
      <c r="E61" s="62"/>
      <c r="F61" s="222"/>
      <c r="G61" s="62"/>
      <c r="H61" s="222"/>
      <c r="I61" s="337" t="s">
        <v>1187</v>
      </c>
    </row>
    <row r="62" spans="1:9" ht="36" customHeight="1" x14ac:dyDescent="0.7">
      <c r="A62" s="357"/>
      <c r="B62" s="218" t="s">
        <v>1188</v>
      </c>
      <c r="C62" s="161">
        <v>13</v>
      </c>
      <c r="D62" s="141"/>
      <c r="E62" s="62"/>
      <c r="F62" s="222"/>
      <c r="G62" s="62"/>
      <c r="H62" s="222"/>
      <c r="I62" s="337"/>
    </row>
    <row r="63" spans="1:9" ht="57" customHeight="1" x14ac:dyDescent="0.7">
      <c r="A63" s="356" t="s">
        <v>1189</v>
      </c>
      <c r="B63" s="218" t="s">
        <v>1190</v>
      </c>
      <c r="C63" s="161">
        <v>35</v>
      </c>
      <c r="D63" s="141"/>
      <c r="E63" s="62"/>
      <c r="F63" s="222"/>
      <c r="G63" s="62"/>
      <c r="H63" s="222"/>
      <c r="I63" s="337" t="s">
        <v>1191</v>
      </c>
    </row>
    <row r="64" spans="1:9" ht="36" customHeight="1" x14ac:dyDescent="0.7">
      <c r="A64" s="359"/>
      <c r="B64" s="218" t="s">
        <v>1192</v>
      </c>
      <c r="C64" s="161">
        <v>20</v>
      </c>
      <c r="D64" s="141"/>
      <c r="E64" s="62"/>
      <c r="F64" s="222"/>
      <c r="G64" s="62"/>
      <c r="H64" s="222"/>
      <c r="I64" s="337"/>
    </row>
    <row r="65" spans="1:9" ht="57" customHeight="1" x14ac:dyDescent="0.7">
      <c r="A65" s="359"/>
      <c r="B65" s="218" t="s">
        <v>1193</v>
      </c>
      <c r="C65" s="161" t="s">
        <v>1194</v>
      </c>
      <c r="D65" s="141"/>
      <c r="E65" s="62"/>
      <c r="F65" s="222"/>
      <c r="G65" s="62"/>
      <c r="H65" s="222"/>
      <c r="I65" s="337"/>
    </row>
    <row r="66" spans="1:9" ht="36" customHeight="1" x14ac:dyDescent="0.7">
      <c r="A66" s="357"/>
      <c r="B66" s="218" t="s">
        <v>1195</v>
      </c>
      <c r="C66" s="161" t="s">
        <v>1196</v>
      </c>
      <c r="D66" s="141"/>
      <c r="E66" s="62"/>
      <c r="F66" s="222"/>
      <c r="G66" s="62"/>
      <c r="H66" s="222"/>
      <c r="I66" s="337"/>
    </row>
    <row r="67" spans="1:9" ht="137.4" customHeight="1" x14ac:dyDescent="0.7">
      <c r="A67" s="187" t="s">
        <v>1197</v>
      </c>
      <c r="B67" s="218" t="s">
        <v>1198</v>
      </c>
      <c r="C67" s="161">
        <v>0</v>
      </c>
      <c r="D67" s="141" t="s">
        <v>581</v>
      </c>
      <c r="E67" s="62" t="s">
        <v>1199</v>
      </c>
      <c r="F67" s="222"/>
      <c r="G67" s="62"/>
      <c r="H67" s="222"/>
      <c r="I67" s="220" t="s">
        <v>1198</v>
      </c>
    </row>
    <row r="68" spans="1:9" ht="137.4" customHeight="1" x14ac:dyDescent="0.7">
      <c r="A68" s="187" t="s">
        <v>1200</v>
      </c>
      <c r="B68" s="218" t="s">
        <v>1201</v>
      </c>
      <c r="C68" s="161">
        <v>0</v>
      </c>
      <c r="D68" s="141" t="s">
        <v>581</v>
      </c>
      <c r="E68" s="62" t="s">
        <v>1202</v>
      </c>
      <c r="F68" s="222"/>
      <c r="G68" s="62"/>
      <c r="H68" s="222"/>
      <c r="I68" s="220" t="s">
        <v>1201</v>
      </c>
    </row>
    <row r="69" spans="1:9" ht="178.2" customHeight="1" x14ac:dyDescent="0.7">
      <c r="A69" s="187" t="s">
        <v>1203</v>
      </c>
      <c r="B69" s="218" t="s">
        <v>1204</v>
      </c>
      <c r="C69" s="161">
        <v>0</v>
      </c>
      <c r="D69" s="141" t="s">
        <v>581</v>
      </c>
      <c r="E69" s="62" t="s">
        <v>1205</v>
      </c>
      <c r="F69" s="222"/>
      <c r="G69" s="62"/>
      <c r="H69" s="222"/>
      <c r="I69" s="220" t="s">
        <v>1204</v>
      </c>
    </row>
    <row r="70" spans="1:9" ht="57" customHeight="1" x14ac:dyDescent="0.7">
      <c r="A70" s="187" t="s">
        <v>1206</v>
      </c>
      <c r="B70" s="218" t="s">
        <v>1207</v>
      </c>
      <c r="C70" s="161">
        <v>3</v>
      </c>
      <c r="D70" s="141"/>
      <c r="E70" s="62"/>
      <c r="F70" s="222"/>
      <c r="G70" s="62"/>
      <c r="H70" s="222"/>
      <c r="I70" s="220" t="s">
        <v>1207</v>
      </c>
    </row>
    <row r="71" spans="1:9" ht="57" customHeight="1" x14ac:dyDescent="0.7">
      <c r="A71" s="187" t="s">
        <v>1208</v>
      </c>
      <c r="B71" s="218" t="s">
        <v>1209</v>
      </c>
      <c r="C71" s="161">
        <v>8</v>
      </c>
      <c r="D71" s="141"/>
      <c r="E71" s="62"/>
      <c r="F71" s="222"/>
      <c r="G71" s="62"/>
      <c r="H71" s="222"/>
      <c r="I71" s="220" t="s">
        <v>1209</v>
      </c>
    </row>
    <row r="72" spans="1:9" ht="36" customHeight="1" x14ac:dyDescent="0.7">
      <c r="A72" s="356" t="s">
        <v>1210</v>
      </c>
      <c r="B72" s="218" t="s">
        <v>1211</v>
      </c>
      <c r="C72" s="161">
        <v>300</v>
      </c>
      <c r="D72" s="141"/>
      <c r="E72" s="62"/>
      <c r="F72" s="222"/>
      <c r="G72" s="62"/>
      <c r="H72" s="222"/>
      <c r="I72" s="337" t="s">
        <v>1212</v>
      </c>
    </row>
    <row r="73" spans="1:9" ht="117" customHeight="1" x14ac:dyDescent="0.7">
      <c r="A73" s="357"/>
      <c r="B73" s="218" t="s">
        <v>1213</v>
      </c>
      <c r="C73" s="161">
        <v>219</v>
      </c>
      <c r="D73" s="141" t="s">
        <v>575</v>
      </c>
      <c r="E73" s="62" t="s">
        <v>1214</v>
      </c>
      <c r="F73" s="222"/>
      <c r="G73" s="62"/>
      <c r="H73" s="222"/>
      <c r="I73" s="337"/>
    </row>
    <row r="74" spans="1:9" ht="36" customHeight="1" x14ac:dyDescent="0.7">
      <c r="A74" s="356" t="s">
        <v>1215</v>
      </c>
      <c r="B74" s="218" t="s">
        <v>1216</v>
      </c>
      <c r="C74" s="161">
        <v>5</v>
      </c>
      <c r="D74" s="141"/>
      <c r="E74" s="62"/>
      <c r="F74" s="222"/>
      <c r="G74" s="62"/>
      <c r="H74" s="222"/>
      <c r="I74" s="337" t="s">
        <v>1217</v>
      </c>
    </row>
    <row r="75" spans="1:9" ht="36" customHeight="1" x14ac:dyDescent="0.7">
      <c r="A75" s="357"/>
      <c r="B75" s="218" t="s">
        <v>1218</v>
      </c>
      <c r="C75" s="161">
        <v>5</v>
      </c>
      <c r="D75" s="141"/>
      <c r="E75" s="62"/>
      <c r="F75" s="222"/>
      <c r="G75" s="62"/>
      <c r="H75" s="222"/>
      <c r="I75" s="337"/>
    </row>
    <row r="76" spans="1:9" ht="36" customHeight="1" x14ac:dyDescent="0.7">
      <c r="A76" s="187" t="s">
        <v>1219</v>
      </c>
      <c r="B76" s="218" t="s">
        <v>1220</v>
      </c>
      <c r="C76" s="161" t="s">
        <v>765</v>
      </c>
      <c r="D76" s="141"/>
      <c r="E76" s="62"/>
      <c r="F76" s="222"/>
      <c r="G76" s="62"/>
      <c r="H76" s="222"/>
      <c r="I76" s="220" t="s">
        <v>1221</v>
      </c>
    </row>
    <row r="77" spans="1:9" ht="36" customHeight="1" x14ac:dyDescent="0.7">
      <c r="A77" s="187" t="s">
        <v>1222</v>
      </c>
      <c r="B77" s="218" t="s">
        <v>1223</v>
      </c>
      <c r="C77" s="161" t="s">
        <v>765</v>
      </c>
      <c r="D77" s="141"/>
      <c r="E77" s="62"/>
      <c r="F77" s="222"/>
      <c r="G77" s="62"/>
      <c r="H77" s="222"/>
      <c r="I77" s="220" t="s">
        <v>1224</v>
      </c>
    </row>
    <row r="78" spans="1:9" ht="57" customHeight="1" x14ac:dyDescent="0.7">
      <c r="A78" s="356" t="s">
        <v>1225</v>
      </c>
      <c r="B78" s="218" t="s">
        <v>1226</v>
      </c>
      <c r="C78" s="161">
        <v>20</v>
      </c>
      <c r="D78" s="141"/>
      <c r="E78" s="62"/>
      <c r="F78" s="222"/>
      <c r="G78" s="62"/>
      <c r="H78" s="222"/>
      <c r="I78" s="337" t="s">
        <v>1227</v>
      </c>
    </row>
    <row r="79" spans="1:9" ht="36" customHeight="1" x14ac:dyDescent="0.7">
      <c r="A79" s="357"/>
      <c r="B79" s="218" t="s">
        <v>1228</v>
      </c>
      <c r="C79" s="161">
        <v>15</v>
      </c>
      <c r="D79" s="141"/>
      <c r="E79" s="62"/>
      <c r="F79" s="222"/>
      <c r="G79" s="62"/>
      <c r="H79" s="222"/>
      <c r="I79" s="337"/>
    </row>
    <row r="80" spans="1:9" ht="36" customHeight="1" x14ac:dyDescent="0.7">
      <c r="A80" s="356" t="s">
        <v>1229</v>
      </c>
      <c r="B80" s="218" t="s">
        <v>1230</v>
      </c>
      <c r="C80" s="161">
        <v>100</v>
      </c>
      <c r="D80" s="141"/>
      <c r="E80" s="62"/>
      <c r="F80" s="222"/>
      <c r="G80" s="62"/>
      <c r="H80" s="222"/>
      <c r="I80" s="337" t="s">
        <v>1231</v>
      </c>
    </row>
    <row r="81" spans="1:9" ht="36" customHeight="1" x14ac:dyDescent="0.7">
      <c r="A81" s="357"/>
      <c r="B81" s="218" t="s">
        <v>1232</v>
      </c>
      <c r="C81" s="161">
        <v>58</v>
      </c>
      <c r="D81" s="141"/>
      <c r="E81" s="62"/>
      <c r="F81" s="222"/>
      <c r="G81" s="62"/>
      <c r="H81" s="222"/>
      <c r="I81" s="337"/>
    </row>
    <row r="82" spans="1:9" ht="57" customHeight="1" x14ac:dyDescent="0.7">
      <c r="A82" s="187" t="s">
        <v>1233</v>
      </c>
      <c r="B82" s="218" t="s">
        <v>1234</v>
      </c>
      <c r="C82" s="161" t="s">
        <v>1196</v>
      </c>
      <c r="D82" s="141"/>
      <c r="E82" s="62"/>
      <c r="F82" s="222"/>
      <c r="G82" s="62"/>
      <c r="H82" s="222"/>
      <c r="I82" s="220" t="s">
        <v>1235</v>
      </c>
    </row>
    <row r="83" spans="1:9" ht="78" customHeight="1" x14ac:dyDescent="0.7">
      <c r="A83" s="187" t="s">
        <v>1236</v>
      </c>
      <c r="B83" s="218" t="s">
        <v>1237</v>
      </c>
      <c r="C83" s="161" t="s">
        <v>724</v>
      </c>
      <c r="D83" s="141"/>
      <c r="E83" s="62"/>
      <c r="F83" s="222"/>
      <c r="G83" s="62"/>
      <c r="H83" s="222"/>
      <c r="I83" s="220" t="s">
        <v>1238</v>
      </c>
    </row>
  </sheetData>
  <sheetProtection algorithmName="SHA-512" hashValue="uQOj9iuNB07n9yDOZOzLbgyEVSrQ7fmbytzIBFXdljLL84TD6Qy99RBbY3CnaMrDj0bheS2v+CibINwlblXr4g==" saltValue="2amO2tvqDIpOBeQc1XM+Ig=="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R6" sqref="R6:R21"/>
    </sheetView>
  </sheetViews>
  <sheetFormatPr defaultColWidth="9.15234375" defaultRowHeight="20.399999999999999" x14ac:dyDescent="0.7"/>
  <cols>
    <col min="1" max="1" width="33.61328125" style="3" customWidth="1"/>
    <col min="2" max="2" width="22.4609375" style="233" hidden="1" customWidth="1"/>
    <col min="3" max="3" width="7.61328125" style="215" customWidth="1"/>
    <col min="4" max="4" width="11.61328125" style="249" customWidth="1"/>
    <col min="5" max="5" width="7.61328125" style="249" customWidth="1"/>
    <col min="6" max="6" width="11.61328125" style="224" customWidth="1"/>
    <col min="7" max="7" width="33.61328125" style="247" customWidth="1"/>
    <col min="8" max="8" width="8.61328125" style="247" customWidth="1"/>
    <col min="9" max="9" width="12.61328125" style="247" customWidth="1"/>
    <col min="10" max="10" width="11.61328125" style="247" customWidth="1"/>
    <col min="11" max="11" width="30.61328125" style="67" customWidth="1"/>
    <col min="12" max="13" width="12.61328125" style="249" customWidth="1"/>
    <col min="14" max="14" width="12.61328125" style="224" customWidth="1"/>
    <col min="15" max="15" width="20.61328125" style="67" customWidth="1"/>
    <col min="16" max="16" width="10.61328125" style="249" customWidth="1"/>
    <col min="17" max="17" width="8.61328125" style="223" customWidth="1"/>
    <col min="18" max="18" width="20.613281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05"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1808</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9.5" customHeight="1" x14ac:dyDescent="0.7">
      <c r="A6" s="356" t="s">
        <v>1057</v>
      </c>
      <c r="B6" s="220" t="s">
        <v>1058</v>
      </c>
      <c r="C6" s="344">
        <f>'DevCoAssessmentInput(D&amp;C)'!$C$6/'DevCoAssessmentInput(D&amp;C)'!$C$7</f>
        <v>0.5</v>
      </c>
      <c r="D6" s="345" t="str">
        <f>_xlfn.IFS($C$6&gt;0.8,"Good",$C$6&gt;=0.6,"Satisfactory",$C$6&lt;0.6,"Needs Improvement")</f>
        <v>Needs Improvement</v>
      </c>
      <c r="E6" s="346">
        <f>_xlfn.IFS($D$6="Good", 3, $D$6="Satisfactory", 2, $D$6="Needs Improvement", 1)</f>
        <v>1</v>
      </c>
      <c r="F6" s="344">
        <v>0.1</v>
      </c>
      <c r="G6" s="354" t="s">
        <v>1059</v>
      </c>
      <c r="H6" s="344" t="s">
        <v>1239</v>
      </c>
      <c r="I6" s="344" t="s">
        <v>1240</v>
      </c>
      <c r="J6" s="344" t="s">
        <v>1241</v>
      </c>
      <c r="K6" s="342"/>
      <c r="L6" s="352" t="s">
        <v>1242</v>
      </c>
      <c r="M6" s="350">
        <f ca="1">($F$6*$E$6+$F$8*$E$8+$F$9*$E$9+$F$10*$E$10+$F$12*$E$12+$F$13*$E$13+$F$14*$E$14)</f>
        <v>2.2999999999999998</v>
      </c>
      <c r="N6" s="351">
        <v>0.7</v>
      </c>
      <c r="O6" s="342"/>
      <c r="P6" s="343" t="s">
        <v>1243</v>
      </c>
      <c r="Q6" s="341">
        <f ca="1">($N$6*$M$6+$N$16*$M$16)</f>
        <v>2.5099999999999998</v>
      </c>
      <c r="R6" s="342"/>
    </row>
    <row r="7" spans="1:81" ht="13.95" hidden="1" customHeight="1" x14ac:dyDescent="0.7">
      <c r="A7" s="357"/>
      <c r="B7" s="220" t="s">
        <v>1060</v>
      </c>
      <c r="C7" s="344"/>
      <c r="D7" s="345"/>
      <c r="E7" s="346"/>
      <c r="F7" s="344"/>
      <c r="G7" s="355"/>
      <c r="H7" s="344"/>
      <c r="I7" s="344"/>
      <c r="J7" s="344"/>
      <c r="K7" s="342"/>
      <c r="L7" s="352"/>
      <c r="M7" s="350"/>
      <c r="N7" s="351"/>
      <c r="O7" s="342"/>
      <c r="P7" s="343"/>
      <c r="Q7" s="341"/>
      <c r="R7" s="342"/>
    </row>
    <row r="8" spans="1:81" ht="79.5" customHeight="1" x14ac:dyDescent="0.7">
      <c r="A8" s="187" t="s">
        <v>1061</v>
      </c>
      <c r="B8" s="220" t="s">
        <v>1062</v>
      </c>
      <c r="C8" s="228" t="str">
        <f>'DevCoAssessmentInput(D&amp;C)'!$C$8</f>
        <v>Yes</v>
      </c>
      <c r="D8" s="226" t="str">
        <f>_xlfn.IFS($C$8="Yes","Good",$C$8="No","Needs Improvement")</f>
        <v>Good</v>
      </c>
      <c r="E8" s="227">
        <f>_xlfn.IFS($D$8="Good", 3, $D$8="Needs Improvement", 1)</f>
        <v>3</v>
      </c>
      <c r="F8" s="228">
        <v>0.15</v>
      </c>
      <c r="G8" s="218" t="s">
        <v>1062</v>
      </c>
      <c r="H8" s="228" t="s">
        <v>724</v>
      </c>
      <c r="I8" s="228"/>
      <c r="J8" s="228" t="s">
        <v>739</v>
      </c>
      <c r="K8" s="229"/>
      <c r="L8" s="352"/>
      <c r="M8" s="350"/>
      <c r="N8" s="351"/>
      <c r="O8" s="342"/>
      <c r="P8" s="343"/>
      <c r="Q8" s="341"/>
      <c r="R8" s="342"/>
    </row>
    <row r="9" spans="1:81" ht="58.05" customHeight="1" x14ac:dyDescent="0.7">
      <c r="A9" s="187" t="s">
        <v>1063</v>
      </c>
      <c r="B9" s="220" t="s">
        <v>1064</v>
      </c>
      <c r="C9" s="228" t="str">
        <f>'DevCoAssessmentInput(D&amp;C)'!$C$9</f>
        <v>No</v>
      </c>
      <c r="D9" s="226" t="str">
        <f>_xlfn.IFS($C$9="Yes","Good",$C$9="No","Needs Improvement")</f>
        <v>Needs Improvement</v>
      </c>
      <c r="E9" s="227">
        <f>_xlfn.IFS($D$9="Good", 3, $D$9="Needs Improvement", 1)</f>
        <v>1</v>
      </c>
      <c r="F9" s="228">
        <v>0.15</v>
      </c>
      <c r="G9" s="218" t="s">
        <v>1066</v>
      </c>
      <c r="H9" s="228" t="s">
        <v>724</v>
      </c>
      <c r="I9" s="228"/>
      <c r="J9" s="228" t="s">
        <v>739</v>
      </c>
      <c r="K9" s="229"/>
      <c r="L9" s="352"/>
      <c r="M9" s="350"/>
      <c r="N9" s="351"/>
      <c r="O9" s="342"/>
      <c r="P9" s="343"/>
      <c r="Q9" s="341"/>
      <c r="R9" s="342"/>
    </row>
    <row r="10" spans="1:81" ht="58.05" customHeight="1" x14ac:dyDescent="0.7">
      <c r="A10" s="356" t="s">
        <v>1067</v>
      </c>
      <c r="B10" s="220" t="s">
        <v>1068</v>
      </c>
      <c r="C10" s="344" t="str">
        <f>IF(AND('DevCoAssessmentInput(D&amp;C)'!$C$10="Yes",'DevCoAssessmentInput(D&amp;C)'!$C$11="Yes"),"Yes","No")</f>
        <v>No</v>
      </c>
      <c r="D10" s="345" t="str">
        <f>_xlfn.IFS($C$10="Yes","Good",$C$10="No","Needs Improvement")</f>
        <v>Needs Improvement</v>
      </c>
      <c r="E10" s="346">
        <f>_xlfn.IFS($D$10="Good", 3, $D$10="Needs Improvement", 1)</f>
        <v>1</v>
      </c>
      <c r="F10" s="344">
        <v>0.1</v>
      </c>
      <c r="G10" s="354" t="s">
        <v>1070</v>
      </c>
      <c r="H10" s="344" t="s">
        <v>724</v>
      </c>
      <c r="I10" s="344"/>
      <c r="J10" s="344" t="s">
        <v>739</v>
      </c>
      <c r="K10" s="342"/>
      <c r="L10" s="352"/>
      <c r="M10" s="350"/>
      <c r="N10" s="351"/>
      <c r="O10" s="342"/>
      <c r="P10" s="343"/>
      <c r="Q10" s="341"/>
      <c r="R10" s="342"/>
    </row>
    <row r="11" spans="1:81" ht="13.95" hidden="1" customHeight="1" x14ac:dyDescent="0.7">
      <c r="A11" s="357"/>
      <c r="B11" s="220" t="s">
        <v>1071</v>
      </c>
      <c r="C11" s="344"/>
      <c r="D11" s="345"/>
      <c r="E11" s="346"/>
      <c r="F11" s="344"/>
      <c r="G11" s="355"/>
      <c r="H11" s="344"/>
      <c r="I11" s="344"/>
      <c r="J11" s="344"/>
      <c r="K11" s="342"/>
      <c r="L11" s="352"/>
      <c r="M11" s="350"/>
      <c r="N11" s="351"/>
      <c r="O11" s="342"/>
      <c r="P11" s="343"/>
      <c r="Q11" s="341"/>
      <c r="R11" s="342"/>
    </row>
    <row r="12" spans="1:81" ht="58.05" customHeight="1" x14ac:dyDescent="0.7">
      <c r="A12" s="187" t="s">
        <v>1072</v>
      </c>
      <c r="B12" s="220" t="s">
        <v>1073</v>
      </c>
      <c r="C12" s="228" t="str">
        <f>'DevCoAssessmentInput(D&amp;C)'!$C$12</f>
        <v>Yes</v>
      </c>
      <c r="D12" s="226" t="str">
        <f>_xlfn.IFS($C$12="Yes","Good",$C$12="No","Needs Improvement")</f>
        <v>Good</v>
      </c>
      <c r="E12" s="227">
        <f>_xlfn.IFS($D$12="Good", 3, $D$12="Needs Improvement", 1)</f>
        <v>3</v>
      </c>
      <c r="F12" s="228">
        <v>0.1</v>
      </c>
      <c r="G12" s="218" t="s">
        <v>1074</v>
      </c>
      <c r="H12" s="228" t="s">
        <v>724</v>
      </c>
      <c r="I12" s="228"/>
      <c r="J12" s="228" t="s">
        <v>739</v>
      </c>
      <c r="K12" s="229"/>
      <c r="L12" s="352"/>
      <c r="M12" s="350"/>
      <c r="N12" s="351"/>
      <c r="O12" s="342"/>
      <c r="P12" s="343"/>
      <c r="Q12" s="341"/>
      <c r="R12" s="342"/>
    </row>
    <row r="13" spans="1:81" ht="58.05" customHeight="1" x14ac:dyDescent="0.7">
      <c r="A13" s="187" t="s">
        <v>1075</v>
      </c>
      <c r="B13" s="220" t="s">
        <v>1076</v>
      </c>
      <c r="C13" s="228" t="str">
        <f ca="1">IF('DevCoAssessmentInput(D&amp;C)'!$C$13 &gt; (TODAY() - 365), "Yes", "No")</f>
        <v>Yes</v>
      </c>
      <c r="D13" s="226" t="str">
        <f ca="1">_xlfn.IFS($C$13="Yes","Good",$C$13="No","Needs Improvement")</f>
        <v>Good</v>
      </c>
      <c r="E13" s="227">
        <f ca="1">_xlfn.IFS($D$13="Good", 3, $D$13="Needs Improvement", 1)</f>
        <v>3</v>
      </c>
      <c r="F13" s="228">
        <v>0.1</v>
      </c>
      <c r="G13" s="218" t="s">
        <v>1077</v>
      </c>
      <c r="H13" s="228" t="s">
        <v>724</v>
      </c>
      <c r="I13" s="228"/>
      <c r="J13" s="228" t="s">
        <v>739</v>
      </c>
      <c r="K13" s="229"/>
      <c r="L13" s="352"/>
      <c r="M13" s="350"/>
      <c r="N13" s="351"/>
      <c r="O13" s="342"/>
      <c r="P13" s="343"/>
      <c r="Q13" s="341"/>
      <c r="R13" s="342"/>
    </row>
    <row r="14" spans="1:81" ht="79.5" customHeight="1" x14ac:dyDescent="0.7">
      <c r="A14" s="356" t="s">
        <v>1078</v>
      </c>
      <c r="B14" s="220" t="s">
        <v>1079</v>
      </c>
      <c r="C14" s="344">
        <f>'DevCoAssessmentInput(D&amp;C)'!$C$14/'DevCoAssessmentInput(D&amp;C)'!$C$15</f>
        <v>0.05</v>
      </c>
      <c r="D14" s="345" t="str">
        <f>_xlfn.IFS($C$14&lt;0.2,"Good",$C$14&lt;=0.6,"Satisfactory",$C$14&gt;0.6,"Needs Improvement")</f>
        <v>Good</v>
      </c>
      <c r="E14" s="346">
        <f>_xlfn.IFS($D$14="Good", 3, $D$14="Satisfactory", 2, $D$14="Needs Improvement", 1)</f>
        <v>3</v>
      </c>
      <c r="F14" s="344">
        <v>0.3</v>
      </c>
      <c r="G14" s="354" t="s">
        <v>1080</v>
      </c>
      <c r="H14" s="344" t="s">
        <v>788</v>
      </c>
      <c r="I14" s="344" t="s">
        <v>1244</v>
      </c>
      <c r="J14" s="344" t="s">
        <v>1245</v>
      </c>
      <c r="K14" s="342"/>
      <c r="L14" s="352"/>
      <c r="M14" s="350"/>
      <c r="N14" s="351"/>
      <c r="O14" s="342"/>
      <c r="P14" s="343"/>
      <c r="Q14" s="341"/>
      <c r="R14" s="342"/>
    </row>
    <row r="15" spans="1:81" ht="13.95" hidden="1" customHeight="1" x14ac:dyDescent="0.7">
      <c r="A15" s="357"/>
      <c r="B15" s="220" t="s">
        <v>1081</v>
      </c>
      <c r="C15" s="344"/>
      <c r="D15" s="345"/>
      <c r="E15" s="346"/>
      <c r="F15" s="344"/>
      <c r="G15" s="355"/>
      <c r="H15" s="344"/>
      <c r="I15" s="344"/>
      <c r="J15" s="344"/>
      <c r="K15" s="342"/>
      <c r="L15" s="352"/>
      <c r="M15" s="350"/>
      <c r="N15" s="351"/>
      <c r="O15" s="342"/>
      <c r="P15" s="343"/>
      <c r="Q15" s="341"/>
      <c r="R15" s="342"/>
    </row>
    <row r="16" spans="1:81" ht="58.05" customHeight="1" x14ac:dyDescent="0.7">
      <c r="A16" s="356" t="s">
        <v>1082</v>
      </c>
      <c r="B16" s="220" t="s">
        <v>1083</v>
      </c>
      <c r="C16" s="344">
        <f>'DevCoAssessmentInput(D&amp;C)'!$C$17/'DevCoAssessmentInput(D&amp;C)'!$C$16</f>
        <v>1.1000000000000001</v>
      </c>
      <c r="D16" s="345" t="str">
        <f>_xlfn.IFS($C$16&gt;0.9,"Good",$C$16&gt;=0.7,"Satisfactory",$C$16&lt;0.7,"Needs Improvement")</f>
        <v>Good</v>
      </c>
      <c r="E16" s="346">
        <f>_xlfn.IFS($D$16="Good", 3, $D$16="Satisfactory", 2, $D$16="Needs Improvement", 1)</f>
        <v>3</v>
      </c>
      <c r="F16" s="344">
        <v>0.3</v>
      </c>
      <c r="G16" s="354" t="s">
        <v>1084</v>
      </c>
      <c r="H16" s="344" t="s">
        <v>1246</v>
      </c>
      <c r="I16" s="344" t="s">
        <v>1247</v>
      </c>
      <c r="J16" s="344" t="s">
        <v>1248</v>
      </c>
      <c r="K16" s="342"/>
      <c r="L16" s="352" t="s">
        <v>1249</v>
      </c>
      <c r="M16" s="350">
        <f>($F$16*$E$16+$F$18*$E$18+$F$20*$E$20)</f>
        <v>3</v>
      </c>
      <c r="N16" s="351">
        <v>0.3</v>
      </c>
      <c r="O16" s="342"/>
      <c r="P16" s="343"/>
      <c r="Q16" s="341"/>
      <c r="R16" s="342"/>
    </row>
    <row r="17" spans="1:18" ht="13.95" hidden="1" customHeight="1" x14ac:dyDescent="0.7">
      <c r="A17" s="357"/>
      <c r="B17" s="220" t="s">
        <v>1085</v>
      </c>
      <c r="C17" s="344"/>
      <c r="D17" s="345"/>
      <c r="E17" s="346"/>
      <c r="F17" s="344"/>
      <c r="G17" s="355"/>
      <c r="H17" s="344"/>
      <c r="I17" s="344"/>
      <c r="J17" s="344"/>
      <c r="K17" s="342"/>
      <c r="L17" s="352"/>
      <c r="M17" s="350"/>
      <c r="N17" s="351"/>
      <c r="O17" s="342"/>
      <c r="P17" s="343"/>
      <c r="Q17" s="341"/>
      <c r="R17" s="342"/>
    </row>
    <row r="18" spans="1:18" ht="58.05" customHeight="1" x14ac:dyDescent="0.7">
      <c r="A18" s="356" t="s">
        <v>1086</v>
      </c>
      <c r="B18" s="220" t="s">
        <v>1087</v>
      </c>
      <c r="C18" s="344">
        <f>'DevCoAssessmentInput(D&amp;C)'!$C$19/'DevCoAssessmentInput(D&amp;C)'!$C$18</f>
        <v>1</v>
      </c>
      <c r="D18" s="345" t="str">
        <f>_xlfn.IFS($C$18&gt;0.9,"Good",$C$18&gt;=0.7,"Satisfactory",$C$18&lt;0.7,"Needs Improvement")</f>
        <v>Good</v>
      </c>
      <c r="E18" s="346">
        <f>_xlfn.IFS($D$18="Good", 3, $D$18="Satisfactory", 2, $D$18="Needs Improvement", 1)</f>
        <v>3</v>
      </c>
      <c r="F18" s="344">
        <v>0.3</v>
      </c>
      <c r="G18" s="354" t="s">
        <v>1088</v>
      </c>
      <c r="H18" s="344" t="s">
        <v>1246</v>
      </c>
      <c r="I18" s="344" t="s">
        <v>1247</v>
      </c>
      <c r="J18" s="344" t="s">
        <v>1248</v>
      </c>
      <c r="K18" s="342"/>
      <c r="L18" s="352"/>
      <c r="M18" s="350"/>
      <c r="N18" s="351"/>
      <c r="O18" s="342"/>
      <c r="P18" s="343"/>
      <c r="Q18" s="341"/>
      <c r="R18" s="342"/>
    </row>
    <row r="19" spans="1:18" ht="13.95" hidden="1" customHeight="1" x14ac:dyDescent="0.7">
      <c r="A19" s="357"/>
      <c r="B19" s="220" t="s">
        <v>1089</v>
      </c>
      <c r="C19" s="344"/>
      <c r="D19" s="345"/>
      <c r="E19" s="346"/>
      <c r="F19" s="344"/>
      <c r="G19" s="355"/>
      <c r="H19" s="344"/>
      <c r="I19" s="344"/>
      <c r="J19" s="344"/>
      <c r="K19" s="342"/>
      <c r="L19" s="352"/>
      <c r="M19" s="350"/>
      <c r="N19" s="351"/>
      <c r="O19" s="342"/>
      <c r="P19" s="343"/>
      <c r="Q19" s="341"/>
      <c r="R19" s="342"/>
    </row>
    <row r="20" spans="1:18" ht="58.05" customHeight="1" x14ac:dyDescent="0.7">
      <c r="A20" s="356" t="s">
        <v>1090</v>
      </c>
      <c r="B20" s="220" t="s">
        <v>1091</v>
      </c>
      <c r="C20" s="344">
        <f>'DevCoAssessmentInput(D&amp;C)'!$C$21/'DevCoAssessmentInput(D&amp;C)'!$C$20</f>
        <v>1.3333333333333333</v>
      </c>
      <c r="D20" s="345" t="str">
        <f>_xlfn.IFS($C$20&gt;0.8,"Good",$C$20&gt;=0.4,"Satisfactory",$C$20&lt;0.4,"Needs Improvement")</f>
        <v>Good</v>
      </c>
      <c r="E20" s="346">
        <f>_xlfn.IFS($D$20="Good", 3, $D$20="Satisfactory", 2, $D$20="Needs Improvement", 1)</f>
        <v>3</v>
      </c>
      <c r="F20" s="344">
        <v>0.4</v>
      </c>
      <c r="G20" s="354" t="s">
        <v>1093</v>
      </c>
      <c r="H20" s="344" t="s">
        <v>1239</v>
      </c>
      <c r="I20" s="344" t="s">
        <v>1250</v>
      </c>
      <c r="J20" s="344" t="s">
        <v>796</v>
      </c>
      <c r="K20" s="342"/>
      <c r="L20" s="352"/>
      <c r="M20" s="350"/>
      <c r="N20" s="351"/>
      <c r="O20" s="342"/>
      <c r="P20" s="343"/>
      <c r="Q20" s="341"/>
      <c r="R20" s="342"/>
    </row>
    <row r="21" spans="1:18" ht="13.95" hidden="1" customHeight="1" x14ac:dyDescent="0.7">
      <c r="A21" s="357"/>
      <c r="B21" s="220" t="s">
        <v>1094</v>
      </c>
      <c r="C21" s="344"/>
      <c r="D21" s="345"/>
      <c r="E21" s="346"/>
      <c r="F21" s="344"/>
      <c r="G21" s="355"/>
      <c r="H21" s="344"/>
      <c r="I21" s="344"/>
      <c r="J21" s="344"/>
      <c r="K21" s="342"/>
      <c r="L21" s="352"/>
      <c r="M21" s="350"/>
      <c r="N21" s="351"/>
      <c r="O21" s="342"/>
      <c r="P21" s="343"/>
      <c r="Q21" s="341"/>
      <c r="R21" s="342"/>
    </row>
    <row r="22" spans="1:18" ht="58.05" customHeight="1" x14ac:dyDescent="0.7">
      <c r="A22" s="356" t="s">
        <v>1095</v>
      </c>
      <c r="B22" s="220" t="s">
        <v>1096</v>
      </c>
      <c r="C22" s="344" t="str">
        <f>IF('DevCoAssessmentInput(D&amp;C)'!$C$22&gt;='DevCoAssessmentInput(D&amp;C)'!$C$23,"Yes","No")</f>
        <v>Yes</v>
      </c>
      <c r="D22" s="345" t="str">
        <f>_xlfn.IFS($C$22="Yes","Good",$C$22="No","Needs Improvement")</f>
        <v>Good</v>
      </c>
      <c r="E22" s="346">
        <f>_xlfn.IFS($D$22="Good", 3, $D$22="Needs Improvement", 1)</f>
        <v>3</v>
      </c>
      <c r="F22" s="344">
        <v>0.1</v>
      </c>
      <c r="G22" s="354" t="s">
        <v>1097</v>
      </c>
      <c r="H22" s="344" t="s">
        <v>724</v>
      </c>
      <c r="I22" s="344"/>
      <c r="J22" s="344" t="s">
        <v>739</v>
      </c>
      <c r="K22" s="342"/>
      <c r="L22" s="352" t="s">
        <v>1251</v>
      </c>
      <c r="M22" s="350">
        <f>($F$22*$E$22+$F$24*$E$24+$F$26*$E$26+$F$28*$E$28+$F$30*$E$30+$F$32*$E$32+$F$33*$E$33+$F$35*$E$35)</f>
        <v>3</v>
      </c>
      <c r="N22" s="351">
        <v>0.7</v>
      </c>
      <c r="O22" s="342"/>
      <c r="P22" s="343" t="s">
        <v>1252</v>
      </c>
      <c r="Q22" s="341">
        <f>($N$22*$M$22+$N$36*$M$36)</f>
        <v>2.88</v>
      </c>
      <c r="R22" s="342"/>
    </row>
    <row r="23" spans="1:18" ht="13.95" hidden="1" customHeight="1" x14ac:dyDescent="0.7">
      <c r="A23" s="357"/>
      <c r="B23" s="220" t="s">
        <v>1098</v>
      </c>
      <c r="C23" s="344"/>
      <c r="D23" s="345"/>
      <c r="E23" s="346"/>
      <c r="F23" s="344"/>
      <c r="G23" s="355"/>
      <c r="H23" s="344"/>
      <c r="I23" s="344"/>
      <c r="J23" s="344"/>
      <c r="K23" s="342"/>
      <c r="L23" s="352"/>
      <c r="M23" s="350"/>
      <c r="N23" s="351"/>
      <c r="O23" s="342"/>
      <c r="P23" s="343"/>
      <c r="Q23" s="341"/>
      <c r="R23" s="342"/>
    </row>
    <row r="24" spans="1:18" ht="79.5" customHeight="1" x14ac:dyDescent="0.7">
      <c r="A24" s="356" t="s">
        <v>1099</v>
      </c>
      <c r="B24" s="220" t="s">
        <v>1100</v>
      </c>
      <c r="C24" s="344">
        <f>'DevCoAssessmentInput(D&amp;C)'!$C$25/'DevCoAssessmentInput(D&amp;C)'!$C$24</f>
        <v>0.94647696476964771</v>
      </c>
      <c r="D24" s="345" t="str">
        <f>_xlfn.IFS($C$24&gt;0.9,"Good",$C$24&gt;=0.6,"Satisfactory",$C$24&lt;0.6,"Needs Improvement")</f>
        <v>Good</v>
      </c>
      <c r="E24" s="346">
        <f>_xlfn.IFS($D$24="Good", 3, $D$24="Satisfactory", 2, $D$24="Needs Improvement", 1)</f>
        <v>3</v>
      </c>
      <c r="F24" s="344">
        <v>0.15</v>
      </c>
      <c r="G24" s="354" t="s">
        <v>1101</v>
      </c>
      <c r="H24" s="344" t="s">
        <v>1246</v>
      </c>
      <c r="I24" s="344" t="s">
        <v>1253</v>
      </c>
      <c r="J24" s="344" t="s">
        <v>1241</v>
      </c>
      <c r="K24" s="342"/>
      <c r="L24" s="352"/>
      <c r="M24" s="350"/>
      <c r="N24" s="351"/>
      <c r="O24" s="342"/>
      <c r="P24" s="343"/>
      <c r="Q24" s="341"/>
      <c r="R24" s="342"/>
    </row>
    <row r="25" spans="1:18" ht="13.95" hidden="1" customHeight="1" x14ac:dyDescent="0.7">
      <c r="A25" s="357"/>
      <c r="B25" s="220" t="s">
        <v>1102</v>
      </c>
      <c r="C25" s="344"/>
      <c r="D25" s="345"/>
      <c r="E25" s="346"/>
      <c r="F25" s="344"/>
      <c r="G25" s="355"/>
      <c r="H25" s="344"/>
      <c r="I25" s="344"/>
      <c r="J25" s="344"/>
      <c r="K25" s="342"/>
      <c r="L25" s="352"/>
      <c r="M25" s="350"/>
      <c r="N25" s="351"/>
      <c r="O25" s="342"/>
      <c r="P25" s="343"/>
      <c r="Q25" s="341"/>
      <c r="R25" s="342"/>
    </row>
    <row r="26" spans="1:18" ht="79.5" customHeight="1" x14ac:dyDescent="0.7">
      <c r="A26" s="356" t="s">
        <v>1103</v>
      </c>
      <c r="B26" s="220" t="s">
        <v>1104</v>
      </c>
      <c r="C26" s="344">
        <f>'DevCoAssessmentInput(D&amp;C)'!$C$27/'DevCoAssessmentInput(D&amp;C)'!$C$26</f>
        <v>0.98599999999999999</v>
      </c>
      <c r="D26" s="345" t="str">
        <f>_xlfn.IFS($C$26&gt;0.9,"Good",$C$26&gt;=0.6,"Satisfactory",$C$26&lt;0.6,"Needs Improvement")</f>
        <v>Good</v>
      </c>
      <c r="E26" s="346">
        <f>_xlfn.IFS($D$26="Good", 3, $D$26="Satisfactory", 2, $D$26="Needs Improvement", 1)</f>
        <v>3</v>
      </c>
      <c r="F26" s="344">
        <v>0.15</v>
      </c>
      <c r="G26" s="354" t="s">
        <v>1105</v>
      </c>
      <c r="H26" s="344" t="s">
        <v>1246</v>
      </c>
      <c r="I26" s="344" t="s">
        <v>1253</v>
      </c>
      <c r="J26" s="344" t="s">
        <v>1241</v>
      </c>
      <c r="K26" s="342"/>
      <c r="L26" s="352"/>
      <c r="M26" s="350"/>
      <c r="N26" s="351"/>
      <c r="O26" s="342"/>
      <c r="P26" s="343"/>
      <c r="Q26" s="341"/>
      <c r="R26" s="342"/>
    </row>
    <row r="27" spans="1:18" ht="13.95" hidden="1" customHeight="1" x14ac:dyDescent="0.7">
      <c r="A27" s="357"/>
      <c r="B27" s="220" t="s">
        <v>1106</v>
      </c>
      <c r="C27" s="344"/>
      <c r="D27" s="345"/>
      <c r="E27" s="346"/>
      <c r="F27" s="344"/>
      <c r="G27" s="355"/>
      <c r="H27" s="344"/>
      <c r="I27" s="344"/>
      <c r="J27" s="344"/>
      <c r="K27" s="342"/>
      <c r="L27" s="352"/>
      <c r="M27" s="350"/>
      <c r="N27" s="351"/>
      <c r="O27" s="342"/>
      <c r="P27" s="343"/>
      <c r="Q27" s="341"/>
      <c r="R27" s="342"/>
    </row>
    <row r="28" spans="1:18" ht="58.05" customHeight="1" x14ac:dyDescent="0.7">
      <c r="A28" s="356" t="s">
        <v>1107</v>
      </c>
      <c r="B28" s="220" t="s">
        <v>1108</v>
      </c>
      <c r="C28" s="344">
        <f>'DevCoAssessmentInput(D&amp;C)'!$C$29/'DevCoAssessmentInput(D&amp;C)'!$C$28</f>
        <v>0.95</v>
      </c>
      <c r="D28" s="345" t="str">
        <f>_xlfn.IFS($C$28&gt;0.8,"Good",$C$28&gt;=0.6,"Satisfactory",$C$28&lt;0.6,"Needs Improvement")</f>
        <v>Good</v>
      </c>
      <c r="E28" s="346">
        <f>_xlfn.IFS($D$28="Good", 3, $D$28="Satisfactory", 2, $D$28="Needs Improvement", 1)</f>
        <v>3</v>
      </c>
      <c r="F28" s="344">
        <v>0.2</v>
      </c>
      <c r="G28" s="354" t="s">
        <v>1109</v>
      </c>
      <c r="H28" s="344" t="s">
        <v>1239</v>
      </c>
      <c r="I28" s="344" t="s">
        <v>1240</v>
      </c>
      <c r="J28" s="344" t="s">
        <v>1241</v>
      </c>
      <c r="K28" s="342"/>
      <c r="L28" s="352"/>
      <c r="M28" s="350"/>
      <c r="N28" s="351"/>
      <c r="O28" s="342"/>
      <c r="P28" s="343"/>
      <c r="Q28" s="341"/>
      <c r="R28" s="342"/>
    </row>
    <row r="29" spans="1:18" ht="13.95" hidden="1" customHeight="1" x14ac:dyDescent="0.7">
      <c r="A29" s="357"/>
      <c r="B29" s="220" t="s">
        <v>1110</v>
      </c>
      <c r="C29" s="344"/>
      <c r="D29" s="345"/>
      <c r="E29" s="346"/>
      <c r="F29" s="344"/>
      <c r="G29" s="355"/>
      <c r="H29" s="344"/>
      <c r="I29" s="344"/>
      <c r="J29" s="344"/>
      <c r="K29" s="342"/>
      <c r="L29" s="352"/>
      <c r="M29" s="350"/>
      <c r="N29" s="351"/>
      <c r="O29" s="342"/>
      <c r="P29" s="343"/>
      <c r="Q29" s="341"/>
      <c r="R29" s="342"/>
    </row>
    <row r="30" spans="1:18" ht="58.05" customHeight="1" x14ac:dyDescent="0.7">
      <c r="A30" s="356" t="s">
        <v>1111</v>
      </c>
      <c r="B30" s="220" t="s">
        <v>1112</v>
      </c>
      <c r="C30" s="344">
        <f>'DevCoAssessmentInput(D&amp;C)'!$C$31/'DevCoAssessmentInput(D&amp;C)'!$C$30</f>
        <v>0.98333333333333328</v>
      </c>
      <c r="D30" s="345" t="str">
        <f>_xlfn.IFS($C$30&gt;0.8,"Good",$C$30&gt;=0.6,"Satisfactory",$C$30&lt;0.6,"Needs Improvement")</f>
        <v>Good</v>
      </c>
      <c r="E30" s="346">
        <f>_xlfn.IFS($D$30="Good", 3, $D$30="Satisfactory", 2, $D$30="Needs Improvement", 1)</f>
        <v>3</v>
      </c>
      <c r="F30" s="344">
        <v>0.1</v>
      </c>
      <c r="G30" s="354" t="s">
        <v>1113</v>
      </c>
      <c r="H30" s="344" t="s">
        <v>1239</v>
      </c>
      <c r="I30" s="344" t="s">
        <v>1240</v>
      </c>
      <c r="J30" s="344" t="s">
        <v>1241</v>
      </c>
      <c r="K30" s="342"/>
      <c r="L30" s="352"/>
      <c r="M30" s="350"/>
      <c r="N30" s="351"/>
      <c r="O30" s="342"/>
      <c r="P30" s="343"/>
      <c r="Q30" s="341"/>
      <c r="R30" s="342"/>
    </row>
    <row r="31" spans="1:18" ht="13.95" hidden="1" customHeight="1" x14ac:dyDescent="0.7">
      <c r="A31" s="357"/>
      <c r="B31" s="220" t="s">
        <v>1114</v>
      </c>
      <c r="C31" s="344"/>
      <c r="D31" s="345"/>
      <c r="E31" s="346"/>
      <c r="F31" s="344"/>
      <c r="G31" s="355"/>
      <c r="H31" s="344"/>
      <c r="I31" s="344"/>
      <c r="J31" s="344"/>
      <c r="K31" s="342"/>
      <c r="L31" s="352"/>
      <c r="M31" s="350"/>
      <c r="N31" s="351"/>
      <c r="O31" s="342"/>
      <c r="P31" s="343"/>
      <c r="Q31" s="341"/>
      <c r="R31" s="342"/>
    </row>
    <row r="32" spans="1:18" ht="58.05" customHeight="1" x14ac:dyDescent="0.7">
      <c r="A32" s="187" t="s">
        <v>1115</v>
      </c>
      <c r="B32" s="220" t="s">
        <v>1116</v>
      </c>
      <c r="C32" s="228">
        <f>'DevCoAssessmentInput(D&amp;C)'!$C$32/'DevCoAssessmentInput(D&amp;C)'!$C$30</f>
        <v>0.91666666666666663</v>
      </c>
      <c r="D32" s="226" t="str">
        <f>_xlfn.IFS($C$32&gt;0.8,"Good",$C$32&gt;=0.6,"Satisfactory",$C$32&lt;0.6,"Needs Improvement")</f>
        <v>Good</v>
      </c>
      <c r="E32" s="227">
        <f>_xlfn.IFS($D$32="Good", 3, $D$32="Satisfactory", 2, $D$32="Needs Improvement", 1)</f>
        <v>3</v>
      </c>
      <c r="F32" s="228">
        <v>0.1</v>
      </c>
      <c r="G32" s="218" t="s">
        <v>1117</v>
      </c>
      <c r="H32" s="228" t="s">
        <v>1239</v>
      </c>
      <c r="I32" s="228" t="s">
        <v>1240</v>
      </c>
      <c r="J32" s="228" t="s">
        <v>1241</v>
      </c>
      <c r="K32" s="229"/>
      <c r="L32" s="352"/>
      <c r="M32" s="350"/>
      <c r="N32" s="351"/>
      <c r="O32" s="342"/>
      <c r="P32" s="343"/>
      <c r="Q32" s="341"/>
      <c r="R32" s="342"/>
    </row>
    <row r="33" spans="1:18" ht="58.05" customHeight="1" x14ac:dyDescent="0.7">
      <c r="A33" s="356" t="s">
        <v>1118</v>
      </c>
      <c r="B33" s="220" t="s">
        <v>1119</v>
      </c>
      <c r="C33" s="344">
        <f>'DevCoAssessmentInput(D&amp;C)'!$C$34/'DevCoAssessmentInput(D&amp;C)'!$C$33</f>
        <v>0.97142857142857142</v>
      </c>
      <c r="D33" s="345" t="str">
        <f>_xlfn.IFS($C$33&gt;0.8,"Good",$C$33&gt;=0.6,"Satisfactory",$C$33&lt;0.6,"Needs Improvement")</f>
        <v>Good</v>
      </c>
      <c r="E33" s="346">
        <f>_xlfn.IFS($D$33="Good", 3, $D$33="Satisfactory", 2, $D$33="Needs Improvement", 1)</f>
        <v>3</v>
      </c>
      <c r="F33" s="344">
        <v>0.1</v>
      </c>
      <c r="G33" s="354" t="s">
        <v>1120</v>
      </c>
      <c r="H33" s="344" t="s">
        <v>1239</v>
      </c>
      <c r="I33" s="344" t="s">
        <v>1240</v>
      </c>
      <c r="J33" s="344" t="s">
        <v>1241</v>
      </c>
      <c r="K33" s="342"/>
      <c r="L33" s="352"/>
      <c r="M33" s="350"/>
      <c r="N33" s="351"/>
      <c r="O33" s="342"/>
      <c r="P33" s="343"/>
      <c r="Q33" s="341"/>
      <c r="R33" s="342"/>
    </row>
    <row r="34" spans="1:18" ht="13.95" hidden="1" customHeight="1" x14ac:dyDescent="0.7">
      <c r="A34" s="357"/>
      <c r="B34" s="220" t="s">
        <v>1121</v>
      </c>
      <c r="C34" s="344"/>
      <c r="D34" s="345"/>
      <c r="E34" s="346"/>
      <c r="F34" s="344"/>
      <c r="G34" s="355"/>
      <c r="H34" s="344"/>
      <c r="I34" s="344"/>
      <c r="J34" s="344"/>
      <c r="K34" s="342"/>
      <c r="L34" s="352"/>
      <c r="M34" s="350"/>
      <c r="N34" s="351"/>
      <c r="O34" s="342"/>
      <c r="P34" s="343"/>
      <c r="Q34" s="341"/>
      <c r="R34" s="342"/>
    </row>
    <row r="35" spans="1:18" ht="58.05" customHeight="1" x14ac:dyDescent="0.7">
      <c r="A35" s="187" t="s">
        <v>1122</v>
      </c>
      <c r="B35" s="220" t="s">
        <v>1123</v>
      </c>
      <c r="C35" s="228">
        <f>'DevCoAssessmentInput(D&amp;C)'!$C$35/'DevCoAssessmentInput(D&amp;C)'!$C$33</f>
        <v>0.95714285714285718</v>
      </c>
      <c r="D35" s="226" t="str">
        <f>_xlfn.IFS($C$35&gt;0.8,"Good",$C$35&gt;=0.6,"Satisfactory",$C$35&lt;0.6,"Needs Improvement")</f>
        <v>Good</v>
      </c>
      <c r="E35" s="227">
        <f>_xlfn.IFS($D$35="Good", 3, $D$35="Satisfactory", 2, $D$35="Needs Improvement", 1)</f>
        <v>3</v>
      </c>
      <c r="F35" s="228">
        <v>0.1</v>
      </c>
      <c r="G35" s="218" t="s">
        <v>1124</v>
      </c>
      <c r="H35" s="228" t="s">
        <v>1239</v>
      </c>
      <c r="I35" s="228" t="s">
        <v>1240</v>
      </c>
      <c r="J35" s="228" t="s">
        <v>1241</v>
      </c>
      <c r="K35" s="229"/>
      <c r="L35" s="352"/>
      <c r="M35" s="350"/>
      <c r="N35" s="351"/>
      <c r="O35" s="342"/>
      <c r="P35" s="343"/>
      <c r="Q35" s="341"/>
      <c r="R35" s="342"/>
    </row>
    <row r="36" spans="1:18" ht="58.05" customHeight="1" x14ac:dyDescent="0.7">
      <c r="A36" s="187" t="s">
        <v>1125</v>
      </c>
      <c r="B36" s="220" t="s">
        <v>1126</v>
      </c>
      <c r="C36" s="228" t="str">
        <f>'DevCoAssessmentInput(D&amp;C)'!$C$36</f>
        <v>Yes</v>
      </c>
      <c r="D36" s="226" t="str">
        <f>_xlfn.IFS($C$36="Yes","Good",$C$36="No","Needs Improvement")</f>
        <v>Good</v>
      </c>
      <c r="E36" s="227">
        <f>_xlfn.IFS($D$36="Good", 3, $D$36="Needs Improvement", 1)</f>
        <v>3</v>
      </c>
      <c r="F36" s="228">
        <v>0.4</v>
      </c>
      <c r="G36" s="218" t="s">
        <v>1127</v>
      </c>
      <c r="H36" s="228" t="s">
        <v>724</v>
      </c>
      <c r="I36" s="228"/>
      <c r="J36" s="228" t="s">
        <v>739</v>
      </c>
      <c r="K36" s="229"/>
      <c r="L36" s="352" t="s">
        <v>1254</v>
      </c>
      <c r="M36" s="350">
        <f>($F$36*$E$36+$F$37*$E$37+$F$39*$E$39)</f>
        <v>2.6000000000000005</v>
      </c>
      <c r="N36" s="351">
        <v>0.3</v>
      </c>
      <c r="O36" s="342"/>
      <c r="P36" s="343"/>
      <c r="Q36" s="341"/>
      <c r="R36" s="342"/>
    </row>
    <row r="37" spans="1:18" ht="58.05" customHeight="1" x14ac:dyDescent="0.7">
      <c r="A37" s="356" t="s">
        <v>1128</v>
      </c>
      <c r="B37" s="220" t="s">
        <v>1129</v>
      </c>
      <c r="C37" s="344">
        <f>'DevCoAssessmentInput(D&amp;C)'!$C$38/'DevCoAssessmentInput(D&amp;C)'!$C$37</f>
        <v>0.96666666666666667</v>
      </c>
      <c r="D37" s="345" t="str">
        <f>_xlfn.IFS($C$37&gt;0.8,"Good",$C$37&gt;=0.6,"Satisfactory",$C$37&lt;0.6,"Needs Improvement")</f>
        <v>Good</v>
      </c>
      <c r="E37" s="346">
        <f>_xlfn.IFS($D$37="Good", 3, $D$37="Satisfactory", 2, $D$37="Needs Improvement", 1)</f>
        <v>3</v>
      </c>
      <c r="F37" s="344">
        <v>0.4</v>
      </c>
      <c r="G37" s="354" t="s">
        <v>1130</v>
      </c>
      <c r="H37" s="344" t="s">
        <v>1239</v>
      </c>
      <c r="I37" s="344" t="s">
        <v>1240</v>
      </c>
      <c r="J37" s="344" t="s">
        <v>1241</v>
      </c>
      <c r="K37" s="342"/>
      <c r="L37" s="352"/>
      <c r="M37" s="350"/>
      <c r="N37" s="351"/>
      <c r="O37" s="342"/>
      <c r="P37" s="343"/>
      <c r="Q37" s="341"/>
      <c r="R37" s="342"/>
    </row>
    <row r="38" spans="1:18" ht="13.95" hidden="1" customHeight="1" x14ac:dyDescent="0.7">
      <c r="A38" s="357"/>
      <c r="B38" s="220" t="s">
        <v>1131</v>
      </c>
      <c r="C38" s="344"/>
      <c r="D38" s="345"/>
      <c r="E38" s="346"/>
      <c r="F38" s="344"/>
      <c r="G38" s="355"/>
      <c r="H38" s="344"/>
      <c r="I38" s="344"/>
      <c r="J38" s="344"/>
      <c r="K38" s="342"/>
      <c r="L38" s="352"/>
      <c r="M38" s="350"/>
      <c r="N38" s="351"/>
      <c r="O38" s="342"/>
      <c r="P38" s="343"/>
      <c r="Q38" s="341"/>
      <c r="R38" s="342"/>
    </row>
    <row r="39" spans="1:18" ht="58.05" customHeight="1" x14ac:dyDescent="0.7">
      <c r="A39" s="187" t="s">
        <v>1132</v>
      </c>
      <c r="B39" s="220" t="s">
        <v>1133</v>
      </c>
      <c r="C39" s="225">
        <f>'DevCoAssessmentInput(D&amp;C)'!$C$39</f>
        <v>23</v>
      </c>
      <c r="D39" s="226" t="str">
        <f>_xlfn.IFS($C$39&lt;10,"Good",$C$39&lt;=21,"Satisfactory",$C$39&gt;21,"Needs Improvement")</f>
        <v>Needs Improvement</v>
      </c>
      <c r="E39" s="227">
        <f>_xlfn.IFS($D$39="Good", 3, $D$39="Satisfactory", 2, $D$39="Needs Improvement", 1)</f>
        <v>1</v>
      </c>
      <c r="F39" s="228">
        <v>0.2</v>
      </c>
      <c r="G39" s="218" t="s">
        <v>1134</v>
      </c>
      <c r="H39" s="228" t="s">
        <v>1255</v>
      </c>
      <c r="I39" s="228" t="s">
        <v>1256</v>
      </c>
      <c r="J39" s="228" t="s">
        <v>1257</v>
      </c>
      <c r="K39" s="229"/>
      <c r="L39" s="352"/>
      <c r="M39" s="350"/>
      <c r="N39" s="351"/>
      <c r="O39" s="342"/>
      <c r="P39" s="343"/>
      <c r="Q39" s="341"/>
      <c r="R39" s="342"/>
    </row>
    <row r="40" spans="1:18" ht="79.5" customHeight="1" x14ac:dyDescent="0.7">
      <c r="A40" s="356" t="s">
        <v>1135</v>
      </c>
      <c r="B40" s="220" t="s">
        <v>1136</v>
      </c>
      <c r="C40" s="344">
        <f>'DevCoAssessmentInput(D&amp;C)'!$C$41/'DevCoAssessmentInput(D&amp;C)'!$C$40</f>
        <v>0.86</v>
      </c>
      <c r="D40" s="345" t="str">
        <f>_xlfn.IFS($C$40&gt;0.8,"Good",$C$40&gt;=0.4,"Satisfactory",$C$40&lt;0.4,"Needs Improvement")</f>
        <v>Good</v>
      </c>
      <c r="E40" s="346">
        <f>_xlfn.IFS($D$40="Good", 3, $D$40="Satisfactory", 2, $D$40="Needs Improvement", 1)</f>
        <v>3</v>
      </c>
      <c r="F40" s="344">
        <v>0.2</v>
      </c>
      <c r="G40" s="354" t="s">
        <v>1137</v>
      </c>
      <c r="H40" s="344" t="s">
        <v>1239</v>
      </c>
      <c r="I40" s="344" t="s">
        <v>1258</v>
      </c>
      <c r="J40" s="344" t="s">
        <v>795</v>
      </c>
      <c r="K40" s="342"/>
      <c r="L40" s="352" t="s">
        <v>1259</v>
      </c>
      <c r="M40" s="350">
        <f>($F$40*$E$40+$F$42*$E$42+$F$44*$E$44+$F$46*$E$46+$F$48*$E$48)</f>
        <v>2.8</v>
      </c>
      <c r="N40" s="351">
        <v>0.3</v>
      </c>
      <c r="O40" s="342"/>
      <c r="P40" s="343" t="s">
        <v>1260</v>
      </c>
      <c r="Q40" s="341">
        <f>($N$40*$M$40+$N$49*$M$49)</f>
        <v>2.1</v>
      </c>
      <c r="R40" s="342"/>
    </row>
    <row r="41" spans="1:18" ht="13.95" hidden="1" customHeight="1" x14ac:dyDescent="0.7">
      <c r="A41" s="357"/>
      <c r="B41" s="220" t="s">
        <v>1138</v>
      </c>
      <c r="C41" s="344"/>
      <c r="D41" s="345"/>
      <c r="E41" s="346"/>
      <c r="F41" s="344"/>
      <c r="G41" s="355"/>
      <c r="H41" s="344"/>
      <c r="I41" s="344"/>
      <c r="J41" s="344"/>
      <c r="K41" s="342"/>
      <c r="L41" s="352"/>
      <c r="M41" s="350"/>
      <c r="N41" s="351"/>
      <c r="O41" s="342"/>
      <c r="P41" s="343"/>
      <c r="Q41" s="341"/>
      <c r="R41" s="342"/>
    </row>
    <row r="42" spans="1:18" ht="122.55" customHeight="1" x14ac:dyDescent="0.7">
      <c r="A42" s="356" t="s">
        <v>1139</v>
      </c>
      <c r="B42" s="220" t="s">
        <v>1140</v>
      </c>
      <c r="C42" s="344">
        <f>'DevCoAssessmentInput(D&amp;C)'!$C$43/'DevCoAssessmentInput(D&amp;C)'!$C$42</f>
        <v>0.875</v>
      </c>
      <c r="D42" s="345" t="str">
        <f>_xlfn.IFS($C$42&gt;0.7,"Good",$C$42&gt;=0.5,"Satisfactory",$C$42&lt;0.5,"Needs Improvement")</f>
        <v>Good</v>
      </c>
      <c r="E42" s="346">
        <f>_xlfn.IFS($D$42="Good", 3, $D$42="Satisfactory", 2, $D$42="Needs Improvement", 1)</f>
        <v>3</v>
      </c>
      <c r="F42" s="344">
        <v>0.2</v>
      </c>
      <c r="G42" s="354" t="s">
        <v>1141</v>
      </c>
      <c r="H42" s="344" t="s">
        <v>782</v>
      </c>
      <c r="I42" s="344" t="s">
        <v>783</v>
      </c>
      <c r="J42" s="344" t="s">
        <v>784</v>
      </c>
      <c r="K42" s="342"/>
      <c r="L42" s="352"/>
      <c r="M42" s="350"/>
      <c r="N42" s="351"/>
      <c r="O42" s="342"/>
      <c r="P42" s="343"/>
      <c r="Q42" s="341"/>
      <c r="R42" s="342"/>
    </row>
    <row r="43" spans="1:18" ht="13.95" hidden="1" customHeight="1" x14ac:dyDescent="0.7">
      <c r="A43" s="357"/>
      <c r="B43" s="220" t="s">
        <v>1142</v>
      </c>
      <c r="C43" s="344"/>
      <c r="D43" s="345"/>
      <c r="E43" s="346"/>
      <c r="F43" s="344"/>
      <c r="G43" s="355"/>
      <c r="H43" s="344"/>
      <c r="I43" s="344"/>
      <c r="J43" s="344"/>
      <c r="K43" s="342"/>
      <c r="L43" s="352"/>
      <c r="M43" s="350"/>
      <c r="N43" s="351"/>
      <c r="O43" s="342"/>
      <c r="P43" s="343"/>
      <c r="Q43" s="341"/>
      <c r="R43" s="342"/>
    </row>
    <row r="44" spans="1:18" ht="79.5" customHeight="1" x14ac:dyDescent="0.7">
      <c r="A44" s="356" t="s">
        <v>1143</v>
      </c>
      <c r="B44" s="220" t="s">
        <v>1144</v>
      </c>
      <c r="C44" s="344">
        <f>'DevCoAssessmentInput(D&amp;C)'!$C$45/'DevCoAssessmentInput(D&amp;C)'!$C$44</f>
        <v>0.6</v>
      </c>
      <c r="D44" s="345" t="str">
        <f>_xlfn.IFS($C$44&gt;0.7,"Good",$C$44&gt;=0.5,"Satisfactory",$C$44&lt;0.5,"Needs Improvement")</f>
        <v>Satisfactory</v>
      </c>
      <c r="E44" s="346">
        <f>_xlfn.IFS($D$44="Good", 3, $D$44="Satisfactory", 2, $D$44="Needs Improvement", 1)</f>
        <v>2</v>
      </c>
      <c r="F44" s="344">
        <v>0.2</v>
      </c>
      <c r="G44" s="354" t="s">
        <v>1145</v>
      </c>
      <c r="H44" s="344" t="s">
        <v>782</v>
      </c>
      <c r="I44" s="344" t="s">
        <v>783</v>
      </c>
      <c r="J44" s="344" t="s">
        <v>784</v>
      </c>
      <c r="K44" s="342"/>
      <c r="L44" s="352"/>
      <c r="M44" s="350"/>
      <c r="N44" s="351"/>
      <c r="O44" s="342"/>
      <c r="P44" s="343"/>
      <c r="Q44" s="341"/>
      <c r="R44" s="342"/>
    </row>
    <row r="45" spans="1:18" ht="13.95" hidden="1" customHeight="1" x14ac:dyDescent="0.7">
      <c r="A45" s="357"/>
      <c r="B45" s="220" t="s">
        <v>1146</v>
      </c>
      <c r="C45" s="344"/>
      <c r="D45" s="345"/>
      <c r="E45" s="346"/>
      <c r="F45" s="344"/>
      <c r="G45" s="355"/>
      <c r="H45" s="344"/>
      <c r="I45" s="344"/>
      <c r="J45" s="344"/>
      <c r="K45" s="342"/>
      <c r="L45" s="352"/>
      <c r="M45" s="350"/>
      <c r="N45" s="351"/>
      <c r="O45" s="342"/>
      <c r="P45" s="343"/>
      <c r="Q45" s="341"/>
      <c r="R45" s="342"/>
    </row>
    <row r="46" spans="1:18" ht="79.5" customHeight="1" x14ac:dyDescent="0.7">
      <c r="A46" s="356" t="s">
        <v>1147</v>
      </c>
      <c r="B46" s="220" t="s">
        <v>1148</v>
      </c>
      <c r="C46" s="344">
        <f>'DevCoAssessmentInput(D&amp;C)'!$C$46/'DevCoAssessmentInput(D&amp;C)'!$C$47</f>
        <v>1.2857142857142858</v>
      </c>
      <c r="D46" s="345" t="str">
        <f>_xlfn.IFS($C$46&gt;0.9,"Good",$C$46&gt;=0.85,"Satisfactory",$C$46&lt;0.85,"Needs Improvement")</f>
        <v>Good</v>
      </c>
      <c r="E46" s="346">
        <f>_xlfn.IFS($D$46="Good", 3, $D$46="Satisfactory", 2, $D$46="Needs Improvement", 1)</f>
        <v>3</v>
      </c>
      <c r="F46" s="344">
        <v>0.1</v>
      </c>
      <c r="G46" s="354" t="s">
        <v>1149</v>
      </c>
      <c r="H46" s="344" t="s">
        <v>1246</v>
      </c>
      <c r="I46" s="344" t="s">
        <v>1261</v>
      </c>
      <c r="J46" s="344" t="s">
        <v>1262</v>
      </c>
      <c r="K46" s="342"/>
      <c r="L46" s="352"/>
      <c r="M46" s="350"/>
      <c r="N46" s="351"/>
      <c r="O46" s="342"/>
      <c r="P46" s="343"/>
      <c r="Q46" s="341"/>
      <c r="R46" s="342"/>
    </row>
    <row r="47" spans="1:18" ht="13.95" hidden="1" customHeight="1" x14ac:dyDescent="0.7">
      <c r="A47" s="357"/>
      <c r="B47" s="220" t="s">
        <v>1150</v>
      </c>
      <c r="C47" s="344"/>
      <c r="D47" s="345"/>
      <c r="E47" s="346"/>
      <c r="F47" s="344"/>
      <c r="G47" s="355"/>
      <c r="H47" s="344"/>
      <c r="I47" s="344"/>
      <c r="J47" s="344"/>
      <c r="K47" s="342"/>
      <c r="L47" s="352"/>
      <c r="M47" s="350"/>
      <c r="N47" s="351"/>
      <c r="O47" s="342"/>
      <c r="P47" s="343"/>
      <c r="Q47" s="341"/>
      <c r="R47" s="342"/>
    </row>
    <row r="48" spans="1:18" ht="79.5" customHeight="1" x14ac:dyDescent="0.7">
      <c r="A48" s="187" t="s">
        <v>1151</v>
      </c>
      <c r="B48" s="220" t="s">
        <v>1152</v>
      </c>
      <c r="C48" s="228" t="str">
        <f>'DevCoAssessmentInput(D&amp;C)'!$C$48</f>
        <v>Yes</v>
      </c>
      <c r="D48" s="226" t="str">
        <f>_xlfn.IFS($C$48="Yes","Good",$C$48="No","Needs Improvement")</f>
        <v>Good</v>
      </c>
      <c r="E48" s="227">
        <f>_xlfn.IFS($D$48="Good", 3, $D$48="Needs Improvement", 1)</f>
        <v>3</v>
      </c>
      <c r="F48" s="228">
        <v>0.3</v>
      </c>
      <c r="G48" s="218" t="s">
        <v>1154</v>
      </c>
      <c r="H48" s="228" t="s">
        <v>724</v>
      </c>
      <c r="I48" s="228"/>
      <c r="J48" s="228" t="s">
        <v>739</v>
      </c>
      <c r="K48" s="229"/>
      <c r="L48" s="352"/>
      <c r="M48" s="350"/>
      <c r="N48" s="351"/>
      <c r="O48" s="342"/>
      <c r="P48" s="343"/>
      <c r="Q48" s="341"/>
      <c r="R48" s="342"/>
    </row>
    <row r="49" spans="1:18" ht="79.5" customHeight="1" x14ac:dyDescent="0.7">
      <c r="A49" s="356" t="s">
        <v>1155</v>
      </c>
      <c r="B49" s="220" t="s">
        <v>1156</v>
      </c>
      <c r="C49" s="344">
        <f>'DevCoAssessmentInput(D&amp;C)'!$C$50/'DevCoAssessmentInput(D&amp;C)'!$C$49</f>
        <v>0.69354838709677424</v>
      </c>
      <c r="D49" s="345" t="str">
        <f>_xlfn.IFS($C$49&lt;0.2,"Good",$C$49&lt;=0.6,"Satisfactory",$C$49&gt;0.6,"Needs Improvement")</f>
        <v>Needs Improvement</v>
      </c>
      <c r="E49" s="346">
        <f>_xlfn.IFS($D$49="Good", 3, $D$49="Satisfactory", 2, $D$49="Needs Improvement", 1)</f>
        <v>1</v>
      </c>
      <c r="F49" s="344">
        <v>0.3</v>
      </c>
      <c r="G49" s="354" t="s">
        <v>1157</v>
      </c>
      <c r="H49" s="344" t="s">
        <v>788</v>
      </c>
      <c r="I49" s="344" t="s">
        <v>1244</v>
      </c>
      <c r="J49" s="344" t="s">
        <v>1245</v>
      </c>
      <c r="K49" s="342"/>
      <c r="L49" s="352" t="s">
        <v>1263</v>
      </c>
      <c r="M49" s="350">
        <f>($F$49*$E$49+$F$51*$E$51+$F$53*$E$53+$F$54*$E$54+$F$55*$E$55)</f>
        <v>1.8</v>
      </c>
      <c r="N49" s="351">
        <v>0.7</v>
      </c>
      <c r="O49" s="342"/>
      <c r="P49" s="343"/>
      <c r="Q49" s="341"/>
      <c r="R49" s="342"/>
    </row>
    <row r="50" spans="1:18" ht="13.95" hidden="1" customHeight="1" x14ac:dyDescent="0.7">
      <c r="A50" s="357"/>
      <c r="B50" s="220" t="s">
        <v>1158</v>
      </c>
      <c r="C50" s="344"/>
      <c r="D50" s="345"/>
      <c r="E50" s="346"/>
      <c r="F50" s="344"/>
      <c r="G50" s="355"/>
      <c r="H50" s="344"/>
      <c r="I50" s="344"/>
      <c r="J50" s="344"/>
      <c r="K50" s="342"/>
      <c r="L50" s="352"/>
      <c r="M50" s="350"/>
      <c r="N50" s="351"/>
      <c r="O50" s="342"/>
      <c r="P50" s="343"/>
      <c r="Q50" s="341"/>
      <c r="R50" s="342"/>
    </row>
    <row r="51" spans="1:18" ht="58.05" customHeight="1" x14ac:dyDescent="0.7">
      <c r="A51" s="356" t="s">
        <v>1159</v>
      </c>
      <c r="B51" s="220" t="s">
        <v>1160</v>
      </c>
      <c r="C51" s="344">
        <f>ABS(('DevCoAssessmentInput(D&amp;C)'!$C$51-'DevCoAssessmentInput(D&amp;C)'!$C$52)/'DevCoAssessmentInput(D&amp;C)'!$C$51)</f>
        <v>9.1166477916194755E-2</v>
      </c>
      <c r="D51" s="345" t="str">
        <f>_xlfn.IFS($C$51&lt;0.2,"Good",$C$51&lt;=0.6,"Satisfactory",$C$51&gt;0.6,"Needs Improvement")</f>
        <v>Good</v>
      </c>
      <c r="E51" s="346">
        <f>_xlfn.IFS($D$51="Good", 3, $D$51="Satisfactory", 2, $D$51="Needs Improvement", 1)</f>
        <v>3</v>
      </c>
      <c r="F51" s="344">
        <v>0.3</v>
      </c>
      <c r="G51" s="354" t="s">
        <v>1161</v>
      </c>
      <c r="H51" s="344" t="s">
        <v>788</v>
      </c>
      <c r="I51" s="344" t="s">
        <v>1244</v>
      </c>
      <c r="J51" s="344" t="s">
        <v>1245</v>
      </c>
      <c r="K51" s="342"/>
      <c r="L51" s="352"/>
      <c r="M51" s="350"/>
      <c r="N51" s="351"/>
      <c r="O51" s="342"/>
      <c r="P51" s="343"/>
      <c r="Q51" s="341"/>
      <c r="R51" s="342"/>
    </row>
    <row r="52" spans="1:18" ht="13.95" hidden="1" customHeight="1" x14ac:dyDescent="0.7">
      <c r="A52" s="357"/>
      <c r="B52" s="220" t="s">
        <v>1162</v>
      </c>
      <c r="C52" s="344"/>
      <c r="D52" s="345"/>
      <c r="E52" s="346"/>
      <c r="F52" s="344"/>
      <c r="G52" s="355"/>
      <c r="H52" s="344"/>
      <c r="I52" s="344"/>
      <c r="J52" s="344"/>
      <c r="K52" s="342"/>
      <c r="L52" s="352"/>
      <c r="M52" s="350"/>
      <c r="N52" s="351"/>
      <c r="O52" s="342"/>
      <c r="P52" s="343"/>
      <c r="Q52" s="341"/>
      <c r="R52" s="342"/>
    </row>
    <row r="53" spans="1:18" ht="58.05" customHeight="1" x14ac:dyDescent="0.7">
      <c r="A53" s="187" t="s">
        <v>1163</v>
      </c>
      <c r="B53" s="220" t="s">
        <v>1164</v>
      </c>
      <c r="C53" s="228">
        <f>'DevCoAssessmentInput(D&amp;C)'!$C$53</f>
        <v>10</v>
      </c>
      <c r="D53" s="226" t="str">
        <f>_xlfn.IFS($C$53&lt;0.2,"Good",$C$53&lt;=0.6,"Satisfactory",$C$53&gt;0.6,"Needs Improvement")</f>
        <v>Needs Improvement</v>
      </c>
      <c r="E53" s="227">
        <f>_xlfn.IFS($D$53="Good", 3, $D$53="Satisfactory", 2, $D$53="Needs Improvement", 1)</f>
        <v>1</v>
      </c>
      <c r="F53" s="228">
        <v>0.2</v>
      </c>
      <c r="G53" s="218" t="s">
        <v>1165</v>
      </c>
      <c r="H53" s="228" t="s">
        <v>788</v>
      </c>
      <c r="I53" s="228" t="s">
        <v>1244</v>
      </c>
      <c r="J53" s="228" t="s">
        <v>1245</v>
      </c>
      <c r="K53" s="229"/>
      <c r="L53" s="352"/>
      <c r="M53" s="350"/>
      <c r="N53" s="351"/>
      <c r="O53" s="342"/>
      <c r="P53" s="343"/>
      <c r="Q53" s="341"/>
      <c r="R53" s="342"/>
    </row>
    <row r="54" spans="1:18" ht="79.5" customHeight="1" x14ac:dyDescent="0.7">
      <c r="A54" s="187" t="s">
        <v>1166</v>
      </c>
      <c r="B54" s="220" t="s">
        <v>1167</v>
      </c>
      <c r="C54" s="228" t="str">
        <f>'DevCoAssessmentInput(D&amp;C)'!$C$54</f>
        <v>Yes</v>
      </c>
      <c r="D54" s="226" t="str">
        <f>_xlfn.IFS($C$54="Yes","Good",$C$54="No","Needs Improvement")</f>
        <v>Good</v>
      </c>
      <c r="E54" s="227">
        <f>_xlfn.IFS($D$54="Good", 3, $D$54="Needs Improvement", 1)</f>
        <v>3</v>
      </c>
      <c r="F54" s="228">
        <v>0.1</v>
      </c>
      <c r="G54" s="218" t="s">
        <v>1167</v>
      </c>
      <c r="H54" s="228" t="s">
        <v>724</v>
      </c>
      <c r="I54" s="228"/>
      <c r="J54" s="228" t="s">
        <v>739</v>
      </c>
      <c r="K54" s="229"/>
      <c r="L54" s="352"/>
      <c r="M54" s="350"/>
      <c r="N54" s="351"/>
      <c r="O54" s="342"/>
      <c r="P54" s="343"/>
      <c r="Q54" s="341"/>
      <c r="R54" s="342"/>
    </row>
    <row r="55" spans="1:18" ht="79.5" customHeight="1" x14ac:dyDescent="0.7">
      <c r="A55" s="187" t="s">
        <v>1168</v>
      </c>
      <c r="B55" s="220" t="s">
        <v>1169</v>
      </c>
      <c r="C55" s="228" t="str">
        <f>'DevCoAssessmentInput(D&amp;C)'!$C$55</f>
        <v>No</v>
      </c>
      <c r="D55" s="226" t="str">
        <f>_xlfn.IFS($C$55="Yes","Good",$C$55="No","Needs Improvement")</f>
        <v>Needs Improvement</v>
      </c>
      <c r="E55" s="227">
        <f>_xlfn.IFS($D$55="Good", 3, $D$55="Needs Improvement", 1)</f>
        <v>1</v>
      </c>
      <c r="F55" s="228">
        <v>0.1</v>
      </c>
      <c r="G55" s="218" t="s">
        <v>1170</v>
      </c>
      <c r="H55" s="228" t="s">
        <v>724</v>
      </c>
      <c r="I55" s="228"/>
      <c r="J55" s="228" t="s">
        <v>739</v>
      </c>
      <c r="K55" s="229"/>
      <c r="L55" s="352"/>
      <c r="M55" s="350"/>
      <c r="N55" s="351"/>
      <c r="O55" s="342"/>
      <c r="P55" s="343"/>
      <c r="Q55" s="341"/>
      <c r="R55" s="342"/>
    </row>
    <row r="56" spans="1:18" ht="79.5" customHeight="1" x14ac:dyDescent="0.7">
      <c r="A56" s="187" t="s">
        <v>1171</v>
      </c>
      <c r="B56" s="220" t="s">
        <v>1172</v>
      </c>
      <c r="C56" s="228" t="str">
        <f>'DevCoAssessmentInput(D&amp;C)'!$C$56</f>
        <v>Yes</v>
      </c>
      <c r="D56" s="226" t="str">
        <f>_xlfn.IFS($C$56="Yes","Good",$C$56="No","Needs Improvement")</f>
        <v>Good</v>
      </c>
      <c r="E56" s="227">
        <f>_xlfn.IFS($D$56="Good", 3, $D$56="Needs Improvement", 1)</f>
        <v>3</v>
      </c>
      <c r="F56" s="228">
        <v>0.05</v>
      </c>
      <c r="G56" s="218" t="s">
        <v>1173</v>
      </c>
      <c r="H56" s="228" t="s">
        <v>724</v>
      </c>
      <c r="I56" s="228"/>
      <c r="J56" s="228" t="s">
        <v>739</v>
      </c>
      <c r="K56" s="229"/>
      <c r="L56" s="352" t="s">
        <v>1264</v>
      </c>
      <c r="M56" s="350">
        <f>($F$56*$E$56+$F$57*$E$57+$F$58*$E$58+$F$60*$E$60+$F$61*$E$61+$F$63*$E$63+$F$67*$E$67+$F$68*$E$68+$F$69*$E$69+$F$70*$E$70+$F$71*$E$71+$F$72*$E$72)</f>
        <v>2.4699999999999998</v>
      </c>
      <c r="N56" s="351">
        <v>0.5</v>
      </c>
      <c r="O56" s="342"/>
      <c r="P56" s="343" t="s">
        <v>1265</v>
      </c>
      <c r="Q56" s="341">
        <f>($N$56*$M$56+$N$74*$M$74)</f>
        <v>2.4350000000000001</v>
      </c>
      <c r="R56" s="342"/>
    </row>
    <row r="57" spans="1:18" ht="58.05" customHeight="1" x14ac:dyDescent="0.7">
      <c r="A57" s="187" t="s">
        <v>1174</v>
      </c>
      <c r="B57" s="220" t="s">
        <v>1175</v>
      </c>
      <c r="C57" s="228" t="str">
        <f>'DevCoAssessmentInput(D&amp;C)'!$C$57</f>
        <v>Yes</v>
      </c>
      <c r="D57" s="226" t="str">
        <f>_xlfn.IFS($C$57="Yes","Good",$C$57="No","Needs Improvement")</f>
        <v>Good</v>
      </c>
      <c r="E57" s="227">
        <f>_xlfn.IFS($D$57="Good", 3, $D$57="Needs Improvement", 1)</f>
        <v>3</v>
      </c>
      <c r="F57" s="228">
        <v>0.02</v>
      </c>
      <c r="G57" s="218" t="s">
        <v>1176</v>
      </c>
      <c r="H57" s="228" t="s">
        <v>724</v>
      </c>
      <c r="I57" s="228"/>
      <c r="J57" s="228" t="s">
        <v>739</v>
      </c>
      <c r="K57" s="229"/>
      <c r="L57" s="352"/>
      <c r="M57" s="350"/>
      <c r="N57" s="351"/>
      <c r="O57" s="342"/>
      <c r="P57" s="343"/>
      <c r="Q57" s="341"/>
      <c r="R57" s="342"/>
    </row>
    <row r="58" spans="1:18" ht="58.05" customHeight="1" x14ac:dyDescent="0.7">
      <c r="A58" s="356" t="s">
        <v>1177</v>
      </c>
      <c r="B58" s="220" t="s">
        <v>1178</v>
      </c>
      <c r="C58" s="344">
        <f>'DevCoAssessmentInput(D&amp;C)'!$C$59/'DevCoAssessmentInput(D&amp;C)'!$C$58</f>
        <v>0.83333333333333326</v>
      </c>
      <c r="D58" s="345" t="str">
        <f>_xlfn.IFS($C$58&gt;0.8,"Good",$C$58&gt;=0.6,"Satisfactory",$C$58&lt;0.6,"Needs Improvement")</f>
        <v>Good</v>
      </c>
      <c r="E58" s="346">
        <f>_xlfn.IFS($D$58="Good", 3, $D$58="Satisfactory", 2, $D$58="Needs Improvement", 1)</f>
        <v>3</v>
      </c>
      <c r="F58" s="344">
        <v>0.04</v>
      </c>
      <c r="G58" s="354" t="s">
        <v>1179</v>
      </c>
      <c r="H58" s="344" t="s">
        <v>1239</v>
      </c>
      <c r="I58" s="344" t="s">
        <v>1240</v>
      </c>
      <c r="J58" s="344" t="s">
        <v>1241</v>
      </c>
      <c r="K58" s="342"/>
      <c r="L58" s="352"/>
      <c r="M58" s="350"/>
      <c r="N58" s="351"/>
      <c r="O58" s="342"/>
      <c r="P58" s="343"/>
      <c r="Q58" s="341"/>
      <c r="R58" s="342"/>
    </row>
    <row r="59" spans="1:18" ht="13.95" hidden="1" customHeight="1" x14ac:dyDescent="0.7">
      <c r="A59" s="357"/>
      <c r="B59" s="220" t="s">
        <v>1180</v>
      </c>
      <c r="C59" s="344"/>
      <c r="D59" s="345"/>
      <c r="E59" s="346"/>
      <c r="F59" s="344"/>
      <c r="G59" s="355"/>
      <c r="H59" s="344"/>
      <c r="I59" s="344"/>
      <c r="J59" s="344"/>
      <c r="K59" s="342"/>
      <c r="L59" s="352"/>
      <c r="M59" s="350"/>
      <c r="N59" s="351"/>
      <c r="O59" s="342"/>
      <c r="P59" s="343"/>
      <c r="Q59" s="341"/>
      <c r="R59" s="342"/>
    </row>
    <row r="60" spans="1:18" ht="58.05" customHeight="1" x14ac:dyDescent="0.7">
      <c r="A60" s="187" t="s">
        <v>1181</v>
      </c>
      <c r="B60" s="220" t="s">
        <v>1182</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1184</v>
      </c>
      <c r="H60" s="228" t="s">
        <v>1266</v>
      </c>
      <c r="I60" s="228" t="s">
        <v>1267</v>
      </c>
      <c r="J60" s="228" t="s">
        <v>1268</v>
      </c>
      <c r="K60" s="229"/>
      <c r="L60" s="352"/>
      <c r="M60" s="350"/>
      <c r="N60" s="351"/>
      <c r="O60" s="342"/>
      <c r="P60" s="343"/>
      <c r="Q60" s="341"/>
      <c r="R60" s="342"/>
    </row>
    <row r="61" spans="1:18" ht="58.05" customHeight="1" x14ac:dyDescent="0.7">
      <c r="A61" s="356" t="s">
        <v>1185</v>
      </c>
      <c r="B61" s="220" t="s">
        <v>1186</v>
      </c>
      <c r="C61" s="353">
        <f>'DevCoAssessmentInput(D&amp;C)'!$C$62/'DevCoAssessmentInput(D&amp;C)'!$C$61</f>
        <v>0.65</v>
      </c>
      <c r="D61" s="345" t="str">
        <f>_xlfn.IFS($C$61&lt;7,"Good",$C$61&lt;=14,"Satisfactory",$C$61&gt;14,"Needs Improvement")</f>
        <v>Good</v>
      </c>
      <c r="E61" s="346">
        <f>_xlfn.IFS($D$61="Good", 3, $D$61="Satisfactory", 2, $D$61="Needs Improvement", 1)</f>
        <v>3</v>
      </c>
      <c r="F61" s="344">
        <v>0.05</v>
      </c>
      <c r="G61" s="354" t="s">
        <v>1187</v>
      </c>
      <c r="H61" s="344" t="s">
        <v>1266</v>
      </c>
      <c r="I61" s="344" t="s">
        <v>1267</v>
      </c>
      <c r="J61" s="344" t="s">
        <v>1268</v>
      </c>
      <c r="K61" s="342"/>
      <c r="L61" s="352"/>
      <c r="M61" s="350"/>
      <c r="N61" s="351"/>
      <c r="O61" s="342"/>
      <c r="P61" s="343"/>
      <c r="Q61" s="341"/>
      <c r="R61" s="342"/>
    </row>
    <row r="62" spans="1:18" ht="13.95" hidden="1" customHeight="1" x14ac:dyDescent="0.7">
      <c r="A62" s="357"/>
      <c r="B62" s="220" t="s">
        <v>1188</v>
      </c>
      <c r="C62" s="353"/>
      <c r="D62" s="345"/>
      <c r="E62" s="346"/>
      <c r="F62" s="344"/>
      <c r="G62" s="355"/>
      <c r="H62" s="344"/>
      <c r="I62" s="344"/>
      <c r="J62" s="344"/>
      <c r="K62" s="342"/>
      <c r="L62" s="352"/>
      <c r="M62" s="350"/>
      <c r="N62" s="351"/>
      <c r="O62" s="342"/>
      <c r="P62" s="343"/>
      <c r="Q62" s="341"/>
      <c r="R62" s="342"/>
    </row>
    <row r="63" spans="1:18" ht="58.05" customHeight="1" x14ac:dyDescent="0.7">
      <c r="A63" s="356" t="s">
        <v>1189</v>
      </c>
      <c r="B63" s="220" t="s">
        <v>1190</v>
      </c>
      <c r="C63" s="344" t="str">
        <f>IF(AND('DevCoAssessmentInput(D&amp;C)'!$C$64&gt;='DevCoAssessmentInput(D&amp;C)'!$C$63,'DevCoAssessmentInput(D&amp;C)'!$C$66&lt;='DevCoAssessmentInput(D&amp;C)'!$C$65), "Yes", "No")</f>
        <v>No</v>
      </c>
      <c r="D63" s="345" t="str">
        <f>_xlfn.IFS($C$63="Yes","Good",$C$63="No","Needs Improvement")</f>
        <v>Needs Improvement</v>
      </c>
      <c r="E63" s="346">
        <f>_xlfn.IFS($D$63="Good", 3, $D$63="Needs Improvement", 1)</f>
        <v>1</v>
      </c>
      <c r="F63" s="344">
        <v>0.05</v>
      </c>
      <c r="G63" s="354" t="s">
        <v>1191</v>
      </c>
      <c r="H63" s="344" t="s">
        <v>724</v>
      </c>
      <c r="I63" s="344"/>
      <c r="J63" s="344" t="s">
        <v>739</v>
      </c>
      <c r="K63" s="342"/>
      <c r="L63" s="352"/>
      <c r="M63" s="350"/>
      <c r="N63" s="351"/>
      <c r="O63" s="342"/>
      <c r="P63" s="343"/>
      <c r="Q63" s="341"/>
      <c r="R63" s="342"/>
    </row>
    <row r="64" spans="1:18" ht="13.95" hidden="1" customHeight="1" x14ac:dyDescent="0.7">
      <c r="A64" s="359"/>
      <c r="B64" s="220" t="s">
        <v>1192</v>
      </c>
      <c r="C64" s="344"/>
      <c r="D64" s="345"/>
      <c r="E64" s="346"/>
      <c r="F64" s="344"/>
      <c r="G64" s="360"/>
      <c r="H64" s="344"/>
      <c r="I64" s="344"/>
      <c r="J64" s="344"/>
      <c r="K64" s="342"/>
      <c r="L64" s="352"/>
      <c r="M64" s="350"/>
      <c r="N64" s="351"/>
      <c r="O64" s="342"/>
      <c r="P64" s="343"/>
      <c r="Q64" s="341"/>
      <c r="R64" s="342"/>
    </row>
    <row r="65" spans="1:18" ht="13.95" hidden="1" customHeight="1" x14ac:dyDescent="0.7">
      <c r="A65" s="359"/>
      <c r="B65" s="220" t="s">
        <v>1193</v>
      </c>
      <c r="C65" s="344"/>
      <c r="D65" s="345"/>
      <c r="E65" s="346"/>
      <c r="F65" s="344"/>
      <c r="G65" s="360"/>
      <c r="H65" s="344"/>
      <c r="I65" s="344"/>
      <c r="J65" s="344"/>
      <c r="K65" s="342"/>
      <c r="L65" s="352"/>
      <c r="M65" s="350"/>
      <c r="N65" s="351"/>
      <c r="O65" s="342"/>
      <c r="P65" s="343"/>
      <c r="Q65" s="341"/>
      <c r="R65" s="342"/>
    </row>
    <row r="66" spans="1:18" ht="13.95" hidden="1" customHeight="1" x14ac:dyDescent="0.7">
      <c r="A66" s="357"/>
      <c r="B66" s="220" t="s">
        <v>1195</v>
      </c>
      <c r="C66" s="344"/>
      <c r="D66" s="345"/>
      <c r="E66" s="346"/>
      <c r="F66" s="344"/>
      <c r="G66" s="355"/>
      <c r="H66" s="344"/>
      <c r="I66" s="344"/>
      <c r="J66" s="344"/>
      <c r="K66" s="342"/>
      <c r="L66" s="352"/>
      <c r="M66" s="350"/>
      <c r="N66" s="351"/>
      <c r="O66" s="342"/>
      <c r="P66" s="343"/>
      <c r="Q66" s="341"/>
      <c r="R66" s="342"/>
    </row>
    <row r="67" spans="1:18" ht="58.05" customHeight="1" x14ac:dyDescent="0.7">
      <c r="A67" s="187" t="s">
        <v>1197</v>
      </c>
      <c r="B67" s="220" t="s">
        <v>1198</v>
      </c>
      <c r="C67" s="225">
        <f>'DevCoAssessmentInput(D&amp;C)'!$C$67</f>
        <v>0</v>
      </c>
      <c r="D67" s="226" t="str">
        <f>_xlfn.IFS($C$67=0,"Good",$C$67&lt;=0.02,"Satisfactory",$C$67&gt;0.02,"Needs Improvement")</f>
        <v>Good</v>
      </c>
      <c r="E67" s="227">
        <f>_xlfn.IFS($D$67="Good", 3, $D$67="Satisfactory", 2, $D$67="Needs Improvement", 1)</f>
        <v>3</v>
      </c>
      <c r="F67" s="228">
        <v>0.15</v>
      </c>
      <c r="G67" s="218" t="s">
        <v>1198</v>
      </c>
      <c r="H67" s="228">
        <v>0</v>
      </c>
      <c r="I67" s="228" t="s">
        <v>1269</v>
      </c>
      <c r="J67" s="228" t="s">
        <v>1270</v>
      </c>
      <c r="K67" s="229"/>
      <c r="L67" s="352"/>
      <c r="M67" s="350"/>
      <c r="N67" s="351"/>
      <c r="O67" s="342"/>
      <c r="P67" s="343"/>
      <c r="Q67" s="341"/>
      <c r="R67" s="342"/>
    </row>
    <row r="68" spans="1:18" ht="58.05" customHeight="1" x14ac:dyDescent="0.7">
      <c r="A68" s="187" t="s">
        <v>1200</v>
      </c>
      <c r="B68" s="220" t="s">
        <v>1201</v>
      </c>
      <c r="C68" s="225">
        <f>'DevCoAssessmentInput(D&amp;C)'!$C$68</f>
        <v>0</v>
      </c>
      <c r="D68" s="226" t="str">
        <f>_xlfn.IFS($C$68&lt;0.1,"Good",$C$68&lt;1.5,"Satisfactory",$C$68&gt;1.5,"Needs Improvement")</f>
        <v>Good</v>
      </c>
      <c r="E68" s="227">
        <f>_xlfn.IFS($D$68="Good", 3, $D$68="Satisfactory", 2, $D$68="Needs Improvement", 1)</f>
        <v>3</v>
      </c>
      <c r="F68" s="228">
        <v>0.1</v>
      </c>
      <c r="G68" s="218" t="s">
        <v>1201</v>
      </c>
      <c r="H68" s="228" t="s">
        <v>1271</v>
      </c>
      <c r="I68" s="228" t="s">
        <v>1272</v>
      </c>
      <c r="J68" s="228" t="s">
        <v>1273</v>
      </c>
      <c r="K68" s="229"/>
      <c r="L68" s="352"/>
      <c r="M68" s="350"/>
      <c r="N68" s="351"/>
      <c r="O68" s="342"/>
      <c r="P68" s="343"/>
      <c r="Q68" s="341"/>
      <c r="R68" s="342"/>
    </row>
    <row r="69" spans="1:18" ht="58.05" customHeight="1" x14ac:dyDescent="0.7">
      <c r="A69" s="187" t="s">
        <v>1203</v>
      </c>
      <c r="B69" s="220" t="s">
        <v>1204</v>
      </c>
      <c r="C69" s="225">
        <f>'DevCoAssessmentInput(D&amp;C)'!$C$69</f>
        <v>0</v>
      </c>
      <c r="D69" s="226" t="str">
        <f>_xlfn.IFS($C$69&lt;0.5,"Good",$C$69&lt;=5,"Satisfactory",$C$69&gt;5,"Needs Improvement")</f>
        <v>Good</v>
      </c>
      <c r="E69" s="227">
        <f>_xlfn.IFS($D$69="Good", 3, $D$69="Satisfactory", 2, $D$69="Needs Improvement", 1)</f>
        <v>3</v>
      </c>
      <c r="F69" s="228">
        <v>0.1</v>
      </c>
      <c r="G69" s="218" t="s">
        <v>1204</v>
      </c>
      <c r="H69" s="228" t="s">
        <v>1274</v>
      </c>
      <c r="I69" s="228" t="s">
        <v>1275</v>
      </c>
      <c r="J69" s="228" t="s">
        <v>1276</v>
      </c>
      <c r="K69" s="229"/>
      <c r="L69" s="352"/>
      <c r="M69" s="350"/>
      <c r="N69" s="351"/>
      <c r="O69" s="342"/>
      <c r="P69" s="343"/>
      <c r="Q69" s="341"/>
      <c r="R69" s="342"/>
    </row>
    <row r="70" spans="1:18" ht="58.05" customHeight="1" x14ac:dyDescent="0.7">
      <c r="A70" s="187" t="s">
        <v>1206</v>
      </c>
      <c r="B70" s="220" t="s">
        <v>1207</v>
      </c>
      <c r="C70" s="225">
        <f>'DevCoAssessmentInput(D&amp;C)'!$C$70</f>
        <v>3</v>
      </c>
      <c r="D70" s="226" t="str">
        <f>_xlfn.IFS($C$70&gt;30,"Good",$C$70&gt;=0,"Satisfactory",$C$70=0,"Needs Improvement")</f>
        <v>Satisfactory</v>
      </c>
      <c r="E70" s="227">
        <f>_xlfn.IFS($D$70="Good", 3, $D$70="Satisfactory", 2, $D$70="Needs Improvement", 1)</f>
        <v>2</v>
      </c>
      <c r="F70" s="228">
        <v>0.15</v>
      </c>
      <c r="G70" s="218" t="s">
        <v>1207</v>
      </c>
      <c r="H70" s="228" t="s">
        <v>1277</v>
      </c>
      <c r="I70" s="228" t="s">
        <v>1278</v>
      </c>
      <c r="J70" s="228">
        <v>0</v>
      </c>
      <c r="K70" s="229"/>
      <c r="L70" s="352"/>
      <c r="M70" s="350"/>
      <c r="N70" s="351"/>
      <c r="O70" s="342"/>
      <c r="P70" s="343"/>
      <c r="Q70" s="341"/>
      <c r="R70" s="342"/>
    </row>
    <row r="71" spans="1:18" ht="58.05" customHeight="1" x14ac:dyDescent="0.7">
      <c r="A71" s="187" t="s">
        <v>1208</v>
      </c>
      <c r="B71" s="220" t="s">
        <v>1209</v>
      </c>
      <c r="C71" s="225">
        <f>'DevCoAssessmentInput(D&amp;C)'!$C$71</f>
        <v>8</v>
      </c>
      <c r="D71" s="226" t="str">
        <f>_xlfn.IFS($C$71&gt;200,"Good",$C$71&gt;=10,"Satisfactory",$C$71&lt;10,"Needs Improvement")</f>
        <v>Needs Improvement</v>
      </c>
      <c r="E71" s="227">
        <f>_xlfn.IFS($D$71="Good", 3, $D$71="Satisfactory", 2, $D$71="Needs Improvement", 1)</f>
        <v>1</v>
      </c>
      <c r="F71" s="228">
        <v>0.1</v>
      </c>
      <c r="G71" s="218" t="s">
        <v>1209</v>
      </c>
      <c r="H71" s="228" t="s">
        <v>1279</v>
      </c>
      <c r="I71" s="228" t="s">
        <v>1280</v>
      </c>
      <c r="J71" s="228" t="s">
        <v>1281</v>
      </c>
      <c r="K71" s="229"/>
      <c r="L71" s="352"/>
      <c r="M71" s="350"/>
      <c r="N71" s="351"/>
      <c r="O71" s="342"/>
      <c r="P71" s="343"/>
      <c r="Q71" s="341"/>
      <c r="R71" s="342"/>
    </row>
    <row r="72" spans="1:18" ht="58.05" customHeight="1" x14ac:dyDescent="0.7">
      <c r="A72" s="356" t="s">
        <v>1210</v>
      </c>
      <c r="B72" s="220" t="s">
        <v>1211</v>
      </c>
      <c r="C72" s="344">
        <f>'DevCoAssessmentInput(D&amp;C)'!$C$73/'DevCoAssessmentInput(D&amp;C)'!$C$72</f>
        <v>0.73</v>
      </c>
      <c r="D72" s="345" t="str">
        <f>_xlfn.IFS($C$72&gt;0.7,"Good",$C$72&gt;=0.5,"Satisfactory",$C$72&lt;0.5,"Needs Improvement")</f>
        <v>Good</v>
      </c>
      <c r="E72" s="346">
        <f>_xlfn.IFS($D$72="Good", 3, $D$72="Satisfactory", 2, $D$72="Needs Improvement", 1)</f>
        <v>3</v>
      </c>
      <c r="F72" s="344">
        <v>0.15</v>
      </c>
      <c r="G72" s="354" t="s">
        <v>1212</v>
      </c>
      <c r="H72" s="344" t="s">
        <v>782</v>
      </c>
      <c r="I72" s="344" t="s">
        <v>783</v>
      </c>
      <c r="J72" s="344" t="s">
        <v>784</v>
      </c>
      <c r="K72" s="342"/>
      <c r="L72" s="352"/>
      <c r="M72" s="350"/>
      <c r="N72" s="351"/>
      <c r="O72" s="342"/>
      <c r="P72" s="343"/>
      <c r="Q72" s="341"/>
      <c r="R72" s="342"/>
    </row>
    <row r="73" spans="1:18" ht="13.95" hidden="1" customHeight="1" x14ac:dyDescent="0.7">
      <c r="A73" s="357"/>
      <c r="B73" s="220" t="s">
        <v>1213</v>
      </c>
      <c r="C73" s="344"/>
      <c r="D73" s="345"/>
      <c r="E73" s="346"/>
      <c r="F73" s="344"/>
      <c r="G73" s="355"/>
      <c r="H73" s="344"/>
      <c r="I73" s="344"/>
      <c r="J73" s="344"/>
      <c r="K73" s="342"/>
      <c r="L73" s="352"/>
      <c r="M73" s="350"/>
      <c r="N73" s="351"/>
      <c r="O73" s="342"/>
      <c r="P73" s="343"/>
      <c r="Q73" s="341"/>
      <c r="R73" s="342"/>
    </row>
    <row r="74" spans="1:18" ht="58.05" customHeight="1" x14ac:dyDescent="0.7">
      <c r="A74" s="356" t="s">
        <v>1215</v>
      </c>
      <c r="B74" s="220" t="s">
        <v>1216</v>
      </c>
      <c r="C74" s="344">
        <f>'DevCoAssessmentInput(D&amp;C)'!$C$74/'DevCoAssessmentInput(D&amp;C)'!$C$75</f>
        <v>1</v>
      </c>
      <c r="D74" s="345" t="str">
        <f>_xlfn.IFS($C$74&gt;0.8,"Good",$C$74&gt;=0.6,"Satisfactory",$C$74&lt;0.6,"Needs Improvement")</f>
        <v>Good</v>
      </c>
      <c r="E74" s="346">
        <f>_xlfn.IFS($D$74="Good", 3, $D$74="Satisfactory", 2, $D$74="Needs Improvement", 1)</f>
        <v>3</v>
      </c>
      <c r="F74" s="344">
        <v>0.15</v>
      </c>
      <c r="G74" s="354" t="s">
        <v>1217</v>
      </c>
      <c r="H74" s="344" t="s">
        <v>1239</v>
      </c>
      <c r="I74" s="344" t="s">
        <v>1240</v>
      </c>
      <c r="J74" s="344" t="s">
        <v>1241</v>
      </c>
      <c r="K74" s="342"/>
      <c r="L74" s="352" t="s">
        <v>1282</v>
      </c>
      <c r="M74" s="350">
        <f>($F$74*$E$74+$F$76*$E$76+$F$77*$E$77+$F$78*$E$78+$F$80*$E$80+$F$82*$E$82+$F$83*$E$83)</f>
        <v>2.4000000000000004</v>
      </c>
      <c r="N74" s="351">
        <v>0.5</v>
      </c>
      <c r="O74" s="342"/>
      <c r="P74" s="343"/>
      <c r="Q74" s="341"/>
      <c r="R74" s="342"/>
    </row>
    <row r="75" spans="1:18" ht="13.95" hidden="1" customHeight="1" x14ac:dyDescent="0.7">
      <c r="A75" s="357"/>
      <c r="B75" s="220" t="s">
        <v>1218</v>
      </c>
      <c r="C75" s="344"/>
      <c r="D75" s="345"/>
      <c r="E75" s="346"/>
      <c r="F75" s="344"/>
      <c r="G75" s="355"/>
      <c r="H75" s="344"/>
      <c r="I75" s="344"/>
      <c r="J75" s="344"/>
      <c r="K75" s="342"/>
      <c r="L75" s="352"/>
      <c r="M75" s="350"/>
      <c r="N75" s="351"/>
      <c r="O75" s="342"/>
      <c r="P75" s="343"/>
      <c r="Q75" s="341"/>
      <c r="R75" s="342"/>
    </row>
    <row r="76" spans="1:18" ht="58.05" customHeight="1" x14ac:dyDescent="0.7">
      <c r="A76" s="187" t="s">
        <v>1219</v>
      </c>
      <c r="B76" s="220" t="s">
        <v>1220</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1221</v>
      </c>
      <c r="H76" s="228" t="s">
        <v>1283</v>
      </c>
      <c r="I76" s="228" t="s">
        <v>1284</v>
      </c>
      <c r="J76" s="228" t="s">
        <v>1285</v>
      </c>
      <c r="K76" s="229"/>
      <c r="L76" s="352"/>
      <c r="M76" s="350"/>
      <c r="N76" s="351"/>
      <c r="O76" s="342"/>
      <c r="P76" s="343"/>
      <c r="Q76" s="341"/>
      <c r="R76" s="342"/>
    </row>
    <row r="77" spans="1:18" ht="36.450000000000003" customHeight="1" x14ac:dyDescent="0.7">
      <c r="A77" s="187" t="s">
        <v>1222</v>
      </c>
      <c r="B77" s="220" t="s">
        <v>1223</v>
      </c>
      <c r="C77" s="250" t="str">
        <f>'DevCoAssessmentInput(D&amp;C)'!$C$77</f>
        <v>Good</v>
      </c>
      <c r="D77" s="226" t="str">
        <f>_xlfn.IFS($C$77="Good","Good",$C$77="Average","Satisfactory",$C$77="Poor","Needs Improvement")</f>
        <v>Good</v>
      </c>
      <c r="E77" s="227">
        <f>_xlfn.IFS($D$77="Good", 3, $D$77="Satisfactory", 2, $D$77="Needs Improvement", 1)</f>
        <v>3</v>
      </c>
      <c r="F77" s="228">
        <v>0.2</v>
      </c>
      <c r="G77" s="218" t="s">
        <v>1224</v>
      </c>
      <c r="H77" s="228" t="s">
        <v>765</v>
      </c>
      <c r="I77" s="228" t="s">
        <v>1069</v>
      </c>
      <c r="J77" s="228" t="s">
        <v>1286</v>
      </c>
      <c r="K77" s="229"/>
      <c r="L77" s="352"/>
      <c r="M77" s="350"/>
      <c r="N77" s="351"/>
      <c r="O77" s="342"/>
      <c r="P77" s="343"/>
      <c r="Q77" s="341"/>
      <c r="R77" s="342"/>
    </row>
    <row r="78" spans="1:18" ht="58.05" customHeight="1" x14ac:dyDescent="0.7">
      <c r="A78" s="356" t="s">
        <v>1225</v>
      </c>
      <c r="B78" s="220" t="s">
        <v>1226</v>
      </c>
      <c r="C78" s="344">
        <f>IFERROR('DevCoAssessmentInput(D&amp;C)'!$C$79/'DevCoAssessmentInput(D&amp;C)'!$C$78, 0)</f>
        <v>0.75</v>
      </c>
      <c r="D78" s="345" t="str">
        <f>_xlfn.IFS($C$78&gt;0.6,"Good",$C$78&gt;=0.4,"Satisfactory",$C$78&lt;0.4,"Needs Improvement")</f>
        <v>Good</v>
      </c>
      <c r="E78" s="346">
        <f>_xlfn.IFS($D$78="Good", 3, $D$78="Satisfactory", 2, $D$78="Needs Improvement", 1)</f>
        <v>3</v>
      </c>
      <c r="F78" s="353">
        <v>0.1</v>
      </c>
      <c r="G78" s="354" t="s">
        <v>1227</v>
      </c>
      <c r="H78" s="344" t="s">
        <v>1245</v>
      </c>
      <c r="I78" s="344" t="s">
        <v>1287</v>
      </c>
      <c r="J78" s="344" t="s">
        <v>1288</v>
      </c>
      <c r="K78" s="342"/>
      <c r="L78" s="352"/>
      <c r="M78" s="350"/>
      <c r="N78" s="351"/>
      <c r="O78" s="342"/>
      <c r="P78" s="343"/>
      <c r="Q78" s="341"/>
      <c r="R78" s="342"/>
    </row>
    <row r="79" spans="1:18" ht="13.95" hidden="1" customHeight="1" x14ac:dyDescent="0.7">
      <c r="A79" s="357"/>
      <c r="B79" s="220" t="s">
        <v>1228</v>
      </c>
      <c r="C79" s="344"/>
      <c r="D79" s="345"/>
      <c r="E79" s="346"/>
      <c r="F79" s="353"/>
      <c r="G79" s="355"/>
      <c r="H79" s="344"/>
      <c r="I79" s="344"/>
      <c r="J79" s="344"/>
      <c r="K79" s="342"/>
      <c r="L79" s="352"/>
      <c r="M79" s="350"/>
      <c r="N79" s="351"/>
      <c r="O79" s="342"/>
      <c r="P79" s="343"/>
      <c r="Q79" s="341"/>
      <c r="R79" s="342"/>
    </row>
    <row r="80" spans="1:18" ht="58.05" customHeight="1" x14ac:dyDescent="0.7">
      <c r="A80" s="356" t="s">
        <v>1229</v>
      </c>
      <c r="B80" s="220" t="s">
        <v>1230</v>
      </c>
      <c r="C80" s="344">
        <f>'DevCoAssessmentInput(D&amp;C)'!$C$81/'DevCoAssessmentInput(D&amp;C)'!$C$80</f>
        <v>0.57999999999999996</v>
      </c>
      <c r="D80" s="345" t="str">
        <f>_xlfn.IFS($C$80&gt;0.8,"Good",$C$80&gt;=0.6,"Satisfactory",$C$80&lt;0.6,"Needs Improvement")</f>
        <v>Needs Improvement</v>
      </c>
      <c r="E80" s="346">
        <f>_xlfn.IFS($D$80="Good", 3, $D$80="Satisfactory", 2, $D$80="Needs Improvement", 1)</f>
        <v>1</v>
      </c>
      <c r="F80" s="344">
        <v>0.1</v>
      </c>
      <c r="G80" s="354" t="s">
        <v>1231</v>
      </c>
      <c r="H80" s="344" t="s">
        <v>1239</v>
      </c>
      <c r="I80" s="344" t="s">
        <v>1240</v>
      </c>
      <c r="J80" s="344" t="s">
        <v>1241</v>
      </c>
      <c r="K80" s="342"/>
      <c r="L80" s="352"/>
      <c r="M80" s="350"/>
      <c r="N80" s="351"/>
      <c r="O80" s="342"/>
      <c r="P80" s="343"/>
      <c r="Q80" s="341"/>
      <c r="R80" s="342"/>
    </row>
    <row r="81" spans="1:18" ht="13.95" hidden="1" customHeight="1" x14ac:dyDescent="0.7">
      <c r="A81" s="357"/>
      <c r="B81" s="220" t="s">
        <v>1232</v>
      </c>
      <c r="C81" s="344"/>
      <c r="D81" s="345"/>
      <c r="E81" s="346"/>
      <c r="F81" s="344"/>
      <c r="G81" s="355"/>
      <c r="H81" s="344"/>
      <c r="I81" s="344"/>
      <c r="J81" s="344"/>
      <c r="K81" s="342"/>
      <c r="L81" s="352"/>
      <c r="M81" s="350"/>
      <c r="N81" s="351"/>
      <c r="O81" s="342"/>
      <c r="P81" s="343"/>
      <c r="Q81" s="341"/>
      <c r="R81" s="342"/>
    </row>
    <row r="82" spans="1:18" ht="79.5" customHeight="1" x14ac:dyDescent="0.7">
      <c r="A82" s="187" t="s">
        <v>1233</v>
      </c>
      <c r="B82" s="220" t="s">
        <v>1234</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1235</v>
      </c>
      <c r="H82" s="228" t="s">
        <v>1283</v>
      </c>
      <c r="I82" s="228" t="s">
        <v>1284</v>
      </c>
      <c r="J82" s="228" t="s">
        <v>1285</v>
      </c>
      <c r="K82" s="229"/>
      <c r="L82" s="352"/>
      <c r="M82" s="350"/>
      <c r="N82" s="351"/>
      <c r="O82" s="342"/>
      <c r="P82" s="343"/>
      <c r="Q82" s="341"/>
      <c r="R82" s="342"/>
    </row>
    <row r="83" spans="1:18" ht="58.05" customHeight="1" x14ac:dyDescent="0.7">
      <c r="A83" s="187" t="s">
        <v>1236</v>
      </c>
      <c r="B83" s="220" t="s">
        <v>1237</v>
      </c>
      <c r="C83" s="228" t="str">
        <f>'DevCoAssessmentInput(D&amp;C)'!$C$83</f>
        <v>Yes</v>
      </c>
      <c r="D83" s="226" t="str">
        <f>_xlfn.IFS($C$83="Yes","Good",$C$83="No","Needs Improvement")</f>
        <v>Good</v>
      </c>
      <c r="E83" s="227">
        <f>_xlfn.IFS($D$83="Good", 3, $D$83="Needs Improvement", 1)</f>
        <v>3</v>
      </c>
      <c r="F83" s="228">
        <v>0.25</v>
      </c>
      <c r="G83" s="218" t="s">
        <v>1238</v>
      </c>
      <c r="H83" s="228" t="s">
        <v>724</v>
      </c>
      <c r="I83" s="228"/>
      <c r="J83" s="228" t="s">
        <v>739</v>
      </c>
      <c r="K83" s="229"/>
      <c r="L83" s="352"/>
      <c r="M83" s="350"/>
      <c r="N83" s="351"/>
      <c r="O83" s="342"/>
      <c r="P83" s="343"/>
      <c r="Q83" s="341"/>
      <c r="R83" s="342"/>
    </row>
  </sheetData>
  <sheetProtection sort="0" autoFilter="0" pivotTables="0"/>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271" priority="205" stopIfTrue="1" operator="equal">
      <formula>0</formula>
    </cfRule>
    <cfRule type="cellIs" dxfId="270" priority="206" stopIfTrue="1" operator="lessThan">
      <formula>1.5</formula>
    </cfRule>
    <cfRule type="cellIs" dxfId="269" priority="207" stopIfTrue="1" operator="lessThan">
      <formula>2.5</formula>
    </cfRule>
    <cfRule type="cellIs" dxfId="268" priority="208" stopIfTrue="1" operator="greaterThanOrEqual">
      <formula>2.5</formula>
    </cfRule>
  </conditionalFormatting>
  <conditionalFormatting sqref="E6:E83">
    <cfRule type="cellIs" dxfId="267" priority="209" stopIfTrue="1" operator="equal">
      <formula>0</formula>
    </cfRule>
    <cfRule type="cellIs" dxfId="266" priority="210" stopIfTrue="1" operator="lessThan">
      <formula>1.5</formula>
    </cfRule>
    <cfRule type="cellIs" dxfId="265" priority="211" stopIfTrue="1" operator="lessThan">
      <formula>2.5</formula>
    </cfRule>
    <cfRule type="cellIs" dxfId="264" priority="212" stopIfTrue="1" operator="greaterThanOrEqual">
      <formula>2.5</formula>
    </cfRule>
  </conditionalFormatting>
  <conditionalFormatting sqref="M6:M83">
    <cfRule type="cellIs" dxfId="263" priority="213" stopIfTrue="1" operator="equal">
      <formula>0</formula>
    </cfRule>
    <cfRule type="cellIs" dxfId="262" priority="214" stopIfTrue="1" operator="lessThan">
      <formula>1.5</formula>
    </cfRule>
    <cfRule type="cellIs" dxfId="261" priority="215" stopIfTrue="1" operator="lessThan">
      <formula>2.5</formula>
    </cfRule>
    <cfRule type="cellIs" dxfId="260" priority="216" stopIfTrue="1" operator="greaterThanOrEqual">
      <formula>2.5</formula>
    </cfRule>
  </conditionalFormatting>
  <conditionalFormatting sqref="Q6:Q83">
    <cfRule type="cellIs" dxfId="259" priority="217" stopIfTrue="1" operator="equal">
      <formula>0</formula>
    </cfRule>
    <cfRule type="cellIs" dxfId="258" priority="218" stopIfTrue="1" operator="lessThan">
      <formula>1.5</formula>
    </cfRule>
    <cfRule type="cellIs" dxfId="257" priority="219" stopIfTrue="1" operator="lessThan">
      <formula>2.5</formula>
    </cfRule>
    <cfRule type="cellIs" dxfId="256"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88" t="s">
        <v>800</v>
      </c>
      <c r="E5" s="88" t="s">
        <v>801</v>
      </c>
      <c r="F5" s="88" t="s">
        <v>802</v>
      </c>
    </row>
    <row r="6" spans="1:81" ht="54.6" customHeight="1" x14ac:dyDescent="0.7">
      <c r="A6" s="122">
        <f t="shared" ref="A6:A15" si="0">ROW()-5</f>
        <v>1</v>
      </c>
      <c r="B6" s="76" t="s">
        <v>1289</v>
      </c>
      <c r="C6" s="148">
        <v>45786.670162037037</v>
      </c>
      <c r="D6" s="76"/>
      <c r="E6" s="76"/>
      <c r="F6" s="75"/>
    </row>
    <row r="7" spans="1:81" ht="67.95" customHeight="1" x14ac:dyDescent="0.7">
      <c r="A7" s="122">
        <f t="shared" si="0"/>
        <v>2</v>
      </c>
      <c r="B7" s="76" t="s">
        <v>1290</v>
      </c>
      <c r="C7" s="148">
        <v>45786.670162037037</v>
      </c>
      <c r="D7" s="76"/>
      <c r="E7" s="76"/>
      <c r="F7" s="75"/>
    </row>
    <row r="8" spans="1:81" ht="54.6" customHeight="1" x14ac:dyDescent="0.7">
      <c r="A8" s="122">
        <f t="shared" si="0"/>
        <v>3</v>
      </c>
      <c r="B8" s="76" t="s">
        <v>1291</v>
      </c>
      <c r="C8" s="148">
        <v>45786.670162037037</v>
      </c>
      <c r="D8" s="76"/>
      <c r="E8" s="76"/>
      <c r="F8" s="75"/>
    </row>
    <row r="9" spans="1:81" ht="67.95" customHeight="1" x14ac:dyDescent="0.7">
      <c r="A9" s="122">
        <f t="shared" si="0"/>
        <v>4</v>
      </c>
      <c r="B9" s="76" t="s">
        <v>1292</v>
      </c>
      <c r="C9" s="148">
        <v>45786.670162037037</v>
      </c>
      <c r="D9" s="76"/>
      <c r="E9" s="76"/>
      <c r="F9" s="75"/>
    </row>
    <row r="10" spans="1:81" ht="54.6" customHeight="1" x14ac:dyDescent="0.7">
      <c r="A10" s="122">
        <f t="shared" si="0"/>
        <v>5</v>
      </c>
      <c r="B10" s="76" t="s">
        <v>1293</v>
      </c>
      <c r="C10" s="148">
        <v>45786.670162037037</v>
      </c>
      <c r="D10" s="76"/>
      <c r="E10" s="76"/>
      <c r="F10" s="75"/>
    </row>
    <row r="11" spans="1:81" ht="41.55" customHeight="1" x14ac:dyDescent="0.7">
      <c r="A11" s="120">
        <f t="shared" si="0"/>
        <v>6</v>
      </c>
      <c r="B11" s="76" t="s">
        <v>1294</v>
      </c>
      <c r="C11" s="148">
        <v>45786.670162037037</v>
      </c>
      <c r="D11" s="76"/>
      <c r="E11" s="76"/>
      <c r="F11" s="75"/>
    </row>
    <row r="12" spans="1:81" ht="41.55" customHeight="1" x14ac:dyDescent="0.7">
      <c r="A12" s="120">
        <f t="shared" si="0"/>
        <v>7</v>
      </c>
      <c r="B12" s="75" t="s">
        <v>1295</v>
      </c>
      <c r="C12" s="149">
        <v>45786.670162037037</v>
      </c>
      <c r="D12" s="75"/>
      <c r="E12" s="75"/>
      <c r="F12" s="75"/>
    </row>
    <row r="13" spans="1:81" ht="41.55" customHeight="1" x14ac:dyDescent="0.7">
      <c r="A13" s="120">
        <f t="shared" si="0"/>
        <v>8</v>
      </c>
      <c r="B13" s="75" t="s">
        <v>1296</v>
      </c>
      <c r="C13" s="149">
        <v>45786.670162037037</v>
      </c>
      <c r="D13" s="75"/>
      <c r="E13" s="75"/>
      <c r="F13" s="75"/>
    </row>
    <row r="14" spans="1:81" ht="54.6" customHeight="1" x14ac:dyDescent="0.7">
      <c r="A14" s="120">
        <f t="shared" si="0"/>
        <v>9</v>
      </c>
      <c r="B14" s="75" t="s">
        <v>1297</v>
      </c>
      <c r="C14" s="149">
        <v>45786.670162037037</v>
      </c>
      <c r="D14" s="75"/>
      <c r="E14" s="75"/>
      <c r="F14" s="75"/>
    </row>
    <row r="15" spans="1:81" ht="41.55" customHeight="1" x14ac:dyDescent="0.7">
      <c r="A15" s="120">
        <f t="shared" si="0"/>
        <v>10</v>
      </c>
      <c r="B15" s="75" t="s">
        <v>1298</v>
      </c>
      <c r="C15" s="149">
        <v>45786.670162037037</v>
      </c>
      <c r="D15" s="75"/>
      <c r="E15" s="75"/>
      <c r="F15" s="75"/>
    </row>
    <row r="16" spans="1:81" ht="41.55" customHeight="1" x14ac:dyDescent="0.7">
      <c r="A16" s="120">
        <f t="shared" ref="A16:A30" si="1">ROW()-5</f>
        <v>11</v>
      </c>
      <c r="B16" s="147" t="s">
        <v>1299</v>
      </c>
      <c r="C16" s="150">
        <v>45786.670162037037</v>
      </c>
      <c r="D16" s="147"/>
      <c r="E16" s="147"/>
      <c r="F16" s="75"/>
    </row>
    <row r="17" spans="1:6" ht="41.55" customHeight="1" x14ac:dyDescent="0.7">
      <c r="A17" s="120">
        <f t="shared" si="1"/>
        <v>12</v>
      </c>
      <c r="B17" s="147" t="s">
        <v>1300</v>
      </c>
      <c r="C17" s="150">
        <v>45786.670162037037</v>
      </c>
      <c r="D17" s="147"/>
      <c r="E17" s="147"/>
      <c r="F17" s="75"/>
    </row>
    <row r="18" spans="1:6" ht="67.95" customHeight="1" x14ac:dyDescent="0.7">
      <c r="A18" s="120">
        <f t="shared" si="1"/>
        <v>13</v>
      </c>
      <c r="B18" s="147" t="s">
        <v>1301</v>
      </c>
      <c r="C18" s="150">
        <v>45786.670162037037</v>
      </c>
      <c r="D18" s="147"/>
      <c r="E18" s="147"/>
      <c r="F18" s="75"/>
    </row>
    <row r="19" spans="1:6" ht="67.95" customHeight="1" x14ac:dyDescent="0.7">
      <c r="A19" s="120">
        <f t="shared" si="1"/>
        <v>14</v>
      </c>
      <c r="B19" s="147" t="s">
        <v>1302</v>
      </c>
      <c r="C19" s="150">
        <v>45786.670162037037</v>
      </c>
      <c r="D19" s="147"/>
      <c r="E19" s="147"/>
      <c r="F19" s="75"/>
    </row>
    <row r="20" spans="1:6" ht="54.6" customHeight="1" x14ac:dyDescent="0.7">
      <c r="A20" s="120">
        <f t="shared" si="1"/>
        <v>15</v>
      </c>
      <c r="B20" s="147" t="s">
        <v>1303</v>
      </c>
      <c r="C20" s="150">
        <v>45786.670162037037</v>
      </c>
      <c r="D20" s="147"/>
      <c r="E20" s="147"/>
      <c r="F20" s="75"/>
    </row>
    <row r="21" spans="1:6" ht="54.6" customHeight="1" x14ac:dyDescent="0.7">
      <c r="A21" s="120">
        <f t="shared" si="1"/>
        <v>16</v>
      </c>
      <c r="B21" s="147" t="s">
        <v>1304</v>
      </c>
      <c r="C21" s="150">
        <v>45786.670162037037</v>
      </c>
      <c r="D21" s="147"/>
      <c r="E21" s="147"/>
      <c r="F21" s="75"/>
    </row>
    <row r="22" spans="1:6" ht="81" customHeight="1" x14ac:dyDescent="0.7">
      <c r="A22" s="120">
        <f t="shared" si="1"/>
        <v>17</v>
      </c>
      <c r="B22" s="147" t="s">
        <v>1305</v>
      </c>
      <c r="C22" s="150">
        <v>45786.670162037037</v>
      </c>
      <c r="D22" s="147"/>
      <c r="E22" s="147"/>
      <c r="F22" s="75"/>
    </row>
    <row r="23" spans="1:6" ht="81" customHeight="1" x14ac:dyDescent="0.7">
      <c r="A23" s="120">
        <f t="shared" si="1"/>
        <v>18</v>
      </c>
      <c r="B23" s="147" t="s">
        <v>1306</v>
      </c>
      <c r="C23" s="150">
        <v>45786.670162037037</v>
      </c>
      <c r="D23" s="147"/>
      <c r="E23" s="147"/>
      <c r="F23" s="75"/>
    </row>
    <row r="24" spans="1:6" ht="81" customHeight="1" x14ac:dyDescent="0.7">
      <c r="A24" s="120">
        <f t="shared" si="1"/>
        <v>19</v>
      </c>
      <c r="B24" s="147" t="s">
        <v>1307</v>
      </c>
      <c r="C24" s="150">
        <v>45786.670162037037</v>
      </c>
      <c r="D24" s="147"/>
      <c r="E24" s="147"/>
      <c r="F24" s="75"/>
    </row>
    <row r="25" spans="1:6" ht="54.6" customHeight="1" x14ac:dyDescent="0.7">
      <c r="A25" s="120">
        <f t="shared" si="1"/>
        <v>20</v>
      </c>
      <c r="B25" s="147" t="s">
        <v>1308</v>
      </c>
      <c r="C25" s="150">
        <v>45786.670162037037</v>
      </c>
      <c r="D25" s="147"/>
      <c r="E25" s="147"/>
      <c r="F25" s="75"/>
    </row>
    <row r="26" spans="1:6" ht="81" customHeight="1" x14ac:dyDescent="0.7">
      <c r="A26" s="120">
        <f t="shared" si="1"/>
        <v>21</v>
      </c>
      <c r="B26" s="147" t="s">
        <v>1309</v>
      </c>
      <c r="C26" s="150">
        <v>45786.670162037037</v>
      </c>
      <c r="D26" s="147"/>
      <c r="E26" s="147"/>
      <c r="F26" s="75"/>
    </row>
    <row r="27" spans="1:6" ht="54.6" customHeight="1" x14ac:dyDescent="0.7">
      <c r="A27" s="120">
        <f t="shared" si="1"/>
        <v>22</v>
      </c>
      <c r="B27" s="147" t="s">
        <v>1310</v>
      </c>
      <c r="C27" s="150">
        <v>45786.670162037037</v>
      </c>
      <c r="D27" s="147"/>
      <c r="E27" s="147"/>
      <c r="F27" s="75"/>
    </row>
    <row r="28" spans="1:6" ht="67.95" customHeight="1" x14ac:dyDescent="0.7">
      <c r="A28" s="120">
        <f t="shared" si="1"/>
        <v>23</v>
      </c>
      <c r="B28" s="147" t="s">
        <v>1311</v>
      </c>
      <c r="C28" s="150">
        <v>45786.670173611114</v>
      </c>
      <c r="D28" s="147"/>
      <c r="E28" s="147"/>
      <c r="F28" s="75"/>
    </row>
    <row r="29" spans="1:6" ht="81" customHeight="1" x14ac:dyDescent="0.7">
      <c r="A29" s="120">
        <f t="shared" si="1"/>
        <v>24</v>
      </c>
      <c r="B29" s="147" t="s">
        <v>1312</v>
      </c>
      <c r="C29" s="150">
        <v>45786.670173611114</v>
      </c>
      <c r="D29" s="147"/>
      <c r="E29" s="147"/>
      <c r="F29" s="75"/>
    </row>
    <row r="30" spans="1:6" ht="54.6" customHeight="1" x14ac:dyDescent="0.7">
      <c r="A30" s="120">
        <f t="shared" si="1"/>
        <v>25</v>
      </c>
      <c r="B30" s="147" t="s">
        <v>1313</v>
      </c>
      <c r="C30" s="150">
        <v>45786.670173611114</v>
      </c>
      <c r="D30" s="147"/>
      <c r="E30" s="147"/>
      <c r="F30" s="75"/>
    </row>
    <row r="31" spans="1:6" ht="13.95" customHeight="1" x14ac:dyDescent="0.7"/>
    <row r="32" spans="1:6"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6wil9EHd6goJQUg9OVfw7AINsqhwY5TMSJYl1zRvqpNMdVqxKVBseEqrRGE6X3yq86f3E7edBYrdpUhucsmQFw==" saltValue="2yZUqAB3E4jGhb7foKA8Y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tabSelected="1" zoomScaleNormal="100" workbookViewId="0">
      <pane xSplit="1" ySplit="5" topLeftCell="B6" activePane="bottomRight" state="frozen"/>
      <selection pane="topRight" activeCell="D23" sqref="D23"/>
      <selection pane="bottomLeft" activeCell="D23" sqref="D23"/>
      <selection pane="bottomRight" activeCell="K1" sqref="K1:K1048576"/>
    </sheetView>
  </sheetViews>
  <sheetFormatPr defaultColWidth="8.69140625" defaultRowHeight="40.049999999999997" customHeight="1" x14ac:dyDescent="0.7"/>
  <cols>
    <col min="1" max="1" width="5.69140625" style="41" customWidth="1"/>
    <col min="2" max="2" width="16.15234375" style="77" hidden="1" customWidth="1"/>
    <col min="3" max="3" width="66.69140625" style="82" customWidth="1"/>
    <col min="4" max="4" width="10.69140625" style="83" customWidth="1"/>
    <col min="5" max="5" width="16.15234375" style="82" hidden="1" customWidth="1"/>
    <col min="6" max="6" width="5.69140625" style="77" customWidth="1"/>
    <col min="7" max="24" width="8.69140625" style="77"/>
    <col min="25" max="28" width="20.15234375" style="77" customWidth="1"/>
    <col min="29" max="30" width="8.69140625" style="77"/>
    <col min="31" max="34" width="13.61328125" style="77" customWidth="1"/>
    <col min="35" max="81" width="8.69140625" style="77"/>
    <col min="82" max="16384" width="8.69140625" style="41"/>
  </cols>
  <sheetData>
    <row r="1" spans="1:44" s="12" customFormat="1" ht="21" customHeight="1" x14ac:dyDescent="0.7">
      <c r="C1" s="20"/>
      <c r="D1" s="18"/>
      <c r="E1" s="20"/>
    </row>
    <row r="2" spans="1:44" s="12" customFormat="1" ht="21" customHeight="1" x14ac:dyDescent="0.7">
      <c r="A2" s="7" t="s">
        <v>4</v>
      </c>
      <c r="B2" s="7"/>
      <c r="C2" s="42"/>
      <c r="D2" s="24"/>
      <c r="E2" s="42"/>
    </row>
    <row r="3" spans="1:44" s="12" customFormat="1" ht="21" customHeight="1" x14ac:dyDescent="0.7">
      <c r="A3" s="93" t="str" cm="1">
        <f t="array" aca="1" ref="A3" ca="1">MID(CELL("filename",A1),FIND("]",CELL("filename",A1))+1,256)</f>
        <v>AddDataPoint(D&amp;C)</v>
      </c>
      <c r="B3" s="8"/>
      <c r="C3" s="42"/>
      <c r="D3" s="24"/>
      <c r="E3" s="42"/>
      <c r="G3" s="12" t="s">
        <v>1314</v>
      </c>
      <c r="M3" s="12" t="s">
        <v>1315</v>
      </c>
      <c r="Q3" s="12" t="s">
        <v>1316</v>
      </c>
      <c r="W3" s="12" t="s">
        <v>1317</v>
      </c>
      <c r="AD3" s="12" t="s">
        <v>1318</v>
      </c>
      <c r="AJ3" s="12" t="s">
        <v>1319</v>
      </c>
      <c r="AP3" s="12" t="s">
        <v>1320</v>
      </c>
    </row>
    <row r="4" spans="1:44" s="12" customFormat="1" ht="4.95" customHeight="1" x14ac:dyDescent="0.7">
      <c r="A4" s="10"/>
      <c r="B4" s="10"/>
      <c r="C4" s="42"/>
      <c r="D4" s="24"/>
      <c r="E4" s="42"/>
    </row>
    <row r="5" spans="1:44" s="85" customFormat="1" ht="43.05" customHeight="1" thickBot="1" x14ac:dyDescent="0.75">
      <c r="A5" s="71" t="s">
        <v>5</v>
      </c>
      <c r="B5" s="71" t="s">
        <v>813</v>
      </c>
      <c r="C5" s="71" t="s">
        <v>814</v>
      </c>
      <c r="D5" s="71" t="s">
        <v>760</v>
      </c>
      <c r="E5" s="73" t="s">
        <v>815</v>
      </c>
      <c r="G5" s="292" t="s">
        <v>5</v>
      </c>
      <c r="H5" s="292" t="s">
        <v>1321</v>
      </c>
      <c r="I5" s="292" t="s">
        <v>1322</v>
      </c>
      <c r="J5" s="292" t="s">
        <v>1323</v>
      </c>
      <c r="K5" s="292" t="s">
        <v>1324</v>
      </c>
      <c r="M5" s="292" t="s">
        <v>5</v>
      </c>
      <c r="N5" s="292" t="s">
        <v>1325</v>
      </c>
      <c r="O5" s="292" t="s">
        <v>1326</v>
      </c>
      <c r="Q5" s="292" t="s">
        <v>5</v>
      </c>
      <c r="R5" s="293" t="s">
        <v>1327</v>
      </c>
      <c r="S5" s="294" t="s">
        <v>1328</v>
      </c>
      <c r="T5" s="294" t="s">
        <v>1329</v>
      </c>
      <c r="U5" s="294" t="s">
        <v>1330</v>
      </c>
      <c r="W5" s="292" t="s">
        <v>5</v>
      </c>
      <c r="X5" s="293" t="s">
        <v>1331</v>
      </c>
      <c r="Y5" s="294" t="s">
        <v>1332</v>
      </c>
      <c r="Z5" s="294" t="s">
        <v>1333</v>
      </c>
      <c r="AA5" s="294" t="s">
        <v>1334</v>
      </c>
      <c r="AB5" s="295" t="s">
        <v>1335</v>
      </c>
      <c r="AD5" s="292" t="s">
        <v>5</v>
      </c>
      <c r="AE5" s="293" t="s">
        <v>1336</v>
      </c>
      <c r="AF5" s="294" t="s">
        <v>1337</v>
      </c>
      <c r="AG5" s="294" t="s">
        <v>1338</v>
      </c>
      <c r="AH5" s="295" t="s">
        <v>1339</v>
      </c>
      <c r="AJ5" s="292" t="s">
        <v>5</v>
      </c>
      <c r="AK5" s="293" t="s">
        <v>1340</v>
      </c>
      <c r="AL5" s="294" t="s">
        <v>1341</v>
      </c>
      <c r="AM5" s="294" t="s">
        <v>1342</v>
      </c>
      <c r="AN5" s="295" t="s">
        <v>1343</v>
      </c>
      <c r="AP5" s="292" t="s">
        <v>5</v>
      </c>
      <c r="AQ5" s="293" t="s">
        <v>816</v>
      </c>
      <c r="AR5" s="295" t="s">
        <v>1344</v>
      </c>
    </row>
    <row r="6" spans="1:44" ht="36" customHeight="1" x14ac:dyDescent="0.7">
      <c r="A6" s="155">
        <f>IF($C6="","",SUBTOTAL(3,$C$6:$C6)*1)</f>
        <v>1</v>
      </c>
      <c r="B6" s="251"/>
      <c r="C6" s="238" t="s">
        <v>1345</v>
      </c>
      <c r="D6" s="157">
        <v>180</v>
      </c>
      <c r="E6" s="239" t="s">
        <v>854</v>
      </c>
      <c r="G6" s="296">
        <f>IF($C6="","",SUBTOTAL(3,$C$6:$C6)*1)</f>
        <v>1</v>
      </c>
      <c r="H6" s="297" t="s">
        <v>1346</v>
      </c>
      <c r="I6" s="298">
        <v>50</v>
      </c>
      <c r="J6" s="298">
        <v>25</v>
      </c>
      <c r="K6" s="298">
        <v>5</v>
      </c>
      <c r="L6" s="41"/>
      <c r="M6" s="296">
        <f>IF($C6="","",SUBTOTAL(3,$C$6:$C6)*1)</f>
        <v>1</v>
      </c>
      <c r="N6" s="297" t="s">
        <v>1347</v>
      </c>
      <c r="O6" s="298">
        <v>2</v>
      </c>
      <c r="P6" s="41"/>
      <c r="Q6" s="296">
        <f>IF($C6="","",SUBTOTAL(3,$C$6:$C6)*1)</f>
        <v>1</v>
      </c>
      <c r="R6" s="297" t="s">
        <v>1348</v>
      </c>
      <c r="S6" s="299" t="s">
        <v>1349</v>
      </c>
      <c r="T6" s="299" t="s">
        <v>1350</v>
      </c>
      <c r="U6" s="299" t="s">
        <v>1351</v>
      </c>
      <c r="V6" s="41"/>
      <c r="W6" s="296">
        <f>IF($C6="","",SUBTOTAL(3,$C$6:$C6)*1)</f>
        <v>1</v>
      </c>
      <c r="X6" s="297" t="s">
        <v>1352</v>
      </c>
      <c r="Y6" s="299" t="s">
        <v>1353</v>
      </c>
      <c r="Z6" s="299" t="s">
        <v>1353</v>
      </c>
      <c r="AA6" s="299" t="s">
        <v>1353</v>
      </c>
      <c r="AB6" s="300">
        <v>0</v>
      </c>
      <c r="AC6" s="41"/>
      <c r="AD6" s="296">
        <f>IF($C6="","",SUBTOTAL(3,$C$6:$C6)*1)</f>
        <v>1</v>
      </c>
      <c r="AE6" s="297" t="s">
        <v>1354</v>
      </c>
      <c r="AF6" s="299" t="s">
        <v>879</v>
      </c>
      <c r="AG6" s="299" t="s">
        <v>1355</v>
      </c>
      <c r="AH6" s="300">
        <v>4</v>
      </c>
      <c r="AI6" s="41"/>
      <c r="AJ6" s="296">
        <f>IF($C6="","",SUBTOTAL(3,$C$6:$C6)*1)</f>
        <v>1</v>
      </c>
      <c r="AK6" s="297" t="s">
        <v>1356</v>
      </c>
      <c r="AL6" s="299" t="s">
        <v>885</v>
      </c>
      <c r="AM6" s="299" t="s">
        <v>1357</v>
      </c>
      <c r="AN6" s="298">
        <v>12</v>
      </c>
      <c r="AO6" s="41"/>
      <c r="AP6" s="296">
        <f>IF($C6="","",SUBTOTAL(3,$C$6:$C6)*1)</f>
        <v>1</v>
      </c>
      <c r="AQ6" s="297" t="s">
        <v>1347</v>
      </c>
      <c r="AR6" s="298">
        <v>30</v>
      </c>
    </row>
    <row r="7" spans="1:44" ht="78" customHeight="1" x14ac:dyDescent="0.7">
      <c r="A7" s="155">
        <f>IF($C7="","",SUBTOTAL(3,$C$6:$C7)*1)</f>
        <v>2</v>
      </c>
      <c r="B7" s="251"/>
      <c r="C7" s="238" t="s">
        <v>1358</v>
      </c>
      <c r="D7" s="157">
        <v>120</v>
      </c>
      <c r="E7" s="239" t="s">
        <v>854</v>
      </c>
      <c r="G7" s="301">
        <f>IF($C7="","",SUBTOTAL(3,$C$6:$C7)*1)</f>
        <v>2</v>
      </c>
      <c r="H7" s="302" t="s">
        <v>1359</v>
      </c>
      <c r="I7" s="303">
        <v>230</v>
      </c>
      <c r="J7" s="303">
        <v>40</v>
      </c>
      <c r="K7" s="303">
        <v>30</v>
      </c>
      <c r="L7" s="41"/>
      <c r="M7" s="301">
        <f>IF($C7="","",SUBTOTAL(3,$C$6:$C7)*1)</f>
        <v>2</v>
      </c>
      <c r="N7" s="302" t="s">
        <v>1360</v>
      </c>
      <c r="O7" s="303">
        <v>5</v>
      </c>
      <c r="P7" s="41"/>
      <c r="Q7" s="301">
        <f>IF($C7="","",SUBTOTAL(3,$C$6:$C7)*1)</f>
        <v>2</v>
      </c>
      <c r="R7" s="302" t="s">
        <v>760</v>
      </c>
      <c r="S7" s="304" t="s">
        <v>1361</v>
      </c>
      <c r="T7" s="304" t="s">
        <v>1362</v>
      </c>
      <c r="U7" s="304" t="s">
        <v>1363</v>
      </c>
      <c r="V7" s="41"/>
      <c r="W7" s="301">
        <f>IF($C7="","",SUBTOTAL(3,$C$6:$C7)*1)</f>
        <v>2</v>
      </c>
      <c r="X7" s="302" t="s">
        <v>1364</v>
      </c>
      <c r="Y7" s="304" t="s">
        <v>1365</v>
      </c>
      <c r="Z7" s="304" t="s">
        <v>1353</v>
      </c>
      <c r="AA7" s="304" t="s">
        <v>1365</v>
      </c>
      <c r="AB7" s="305">
        <v>0</v>
      </c>
      <c r="AC7" s="41"/>
      <c r="AD7" s="301">
        <f>IF($C7="","",SUBTOTAL(3,$C$6:$C7)*1)</f>
        <v>2</v>
      </c>
      <c r="AE7" s="302" t="s">
        <v>1366</v>
      </c>
      <c r="AF7" s="304" t="s">
        <v>1367</v>
      </c>
      <c r="AG7" s="304" t="s">
        <v>1368</v>
      </c>
      <c r="AH7" s="305">
        <v>4</v>
      </c>
      <c r="AI7" s="41"/>
      <c r="AJ7" s="301">
        <f>IF($C7="","",SUBTOTAL(3,$C$6:$C7)*1)</f>
        <v>2</v>
      </c>
      <c r="AK7" s="302" t="s">
        <v>1369</v>
      </c>
      <c r="AL7" s="304" t="s">
        <v>1370</v>
      </c>
      <c r="AM7" s="304" t="s">
        <v>1371</v>
      </c>
      <c r="AN7" s="303">
        <v>7</v>
      </c>
      <c r="AO7" s="41"/>
      <c r="AP7" s="301">
        <f>IF($C7="","",SUBTOTAL(3,$C$6:$C7)*1)</f>
        <v>2</v>
      </c>
      <c r="AQ7" s="302" t="s">
        <v>1360</v>
      </c>
      <c r="AR7" s="303">
        <v>40</v>
      </c>
    </row>
    <row r="8" spans="1:44" ht="57" customHeight="1" x14ac:dyDescent="0.7">
      <c r="A8" s="155">
        <f>IF($C8="","",SUBTOTAL(3,$C$6:$C8)*1)</f>
        <v>3</v>
      </c>
      <c r="B8" s="251"/>
      <c r="C8" s="238" t="s">
        <v>1372</v>
      </c>
      <c r="D8" s="157" t="s">
        <v>765</v>
      </c>
      <c r="E8" s="239" t="s">
        <v>905</v>
      </c>
      <c r="G8" s="296">
        <f>IF($C8="","",SUBTOTAL(3,$C$6:$C8)*1)</f>
        <v>3</v>
      </c>
      <c r="H8" s="297" t="s">
        <v>1373</v>
      </c>
      <c r="I8" s="298">
        <v>10</v>
      </c>
      <c r="J8" s="298">
        <v>80</v>
      </c>
      <c r="K8" s="298">
        <v>10</v>
      </c>
      <c r="L8" s="41"/>
      <c r="M8" s="296">
        <f>IF($C8="","",SUBTOTAL(3,$C$6:$C8)*1)</f>
        <v>3</v>
      </c>
      <c r="N8" s="297" t="s">
        <v>1374</v>
      </c>
      <c r="O8" s="298">
        <v>3</v>
      </c>
      <c r="P8" s="41"/>
      <c r="Q8" s="296"/>
      <c r="R8" s="297"/>
      <c r="S8" s="299"/>
      <c r="T8" s="299"/>
      <c r="U8" s="299"/>
      <c r="V8" s="41"/>
      <c r="W8" s="296">
        <f>IF($C8="","",SUBTOTAL(3,$C$6:$C8)*1)</f>
        <v>3</v>
      </c>
      <c r="X8" s="297" t="s">
        <v>1375</v>
      </c>
      <c r="Y8" s="299" t="s">
        <v>879</v>
      </c>
      <c r="Z8" s="299" t="s">
        <v>1353</v>
      </c>
      <c r="AA8" s="299" t="s">
        <v>1365</v>
      </c>
      <c r="AB8" s="300">
        <v>2</v>
      </c>
      <c r="AC8" s="41"/>
      <c r="AD8" s="296"/>
      <c r="AE8" s="297"/>
      <c r="AF8" s="306"/>
      <c r="AG8" s="306"/>
      <c r="AH8" s="300"/>
      <c r="AI8" s="41"/>
      <c r="AJ8" s="296"/>
      <c r="AK8" s="297"/>
      <c r="AL8" s="306"/>
      <c r="AM8" s="306"/>
      <c r="AN8" s="298"/>
      <c r="AO8" s="41"/>
      <c r="AP8" s="296">
        <f>IF($C8="","",SUBTOTAL(3,$C$6:$C8)*1)</f>
        <v>3</v>
      </c>
      <c r="AQ8" s="297" t="s">
        <v>1374</v>
      </c>
      <c r="AR8" s="298">
        <v>38</v>
      </c>
    </row>
    <row r="9" spans="1:44" ht="57" customHeight="1" x14ac:dyDescent="0.7">
      <c r="A9" s="155">
        <f>IF($C9="","",SUBTOTAL(3,$C$6:$C9)*1)</f>
        <v>4</v>
      </c>
      <c r="B9" s="251"/>
      <c r="C9" s="238" t="s">
        <v>1376</v>
      </c>
      <c r="D9" s="157" t="s">
        <v>766</v>
      </c>
      <c r="E9" s="239" t="s">
        <v>905</v>
      </c>
      <c r="G9" s="301"/>
      <c r="H9" s="302"/>
      <c r="I9" s="303"/>
      <c r="J9" s="303"/>
      <c r="K9" s="303"/>
      <c r="L9" s="41"/>
      <c r="M9" s="301">
        <f>IF($C9="","",SUBTOTAL(3,$C$6:$C9)*1)</f>
        <v>4</v>
      </c>
      <c r="N9" s="302" t="s">
        <v>1377</v>
      </c>
      <c r="O9" s="303">
        <v>1</v>
      </c>
      <c r="P9" s="41"/>
      <c r="Q9" s="301"/>
      <c r="R9" s="302"/>
      <c r="S9" s="304"/>
      <c r="T9" s="304"/>
      <c r="U9" s="304"/>
      <c r="V9" s="41"/>
      <c r="W9" s="301">
        <f>IF($C9="","",SUBTOTAL(3,$C$6:$C9)*1)</f>
        <v>4</v>
      </c>
      <c r="X9" s="302" t="s">
        <v>1378</v>
      </c>
      <c r="Y9" s="304" t="s">
        <v>1379</v>
      </c>
      <c r="Z9" s="304" t="s">
        <v>879</v>
      </c>
      <c r="AA9" s="304" t="s">
        <v>1380</v>
      </c>
      <c r="AB9" s="305">
        <v>0</v>
      </c>
      <c r="AC9" s="41"/>
      <c r="AD9" s="301"/>
      <c r="AE9" s="302"/>
      <c r="AF9" s="307"/>
      <c r="AG9" s="307"/>
      <c r="AH9" s="305"/>
      <c r="AI9" s="41"/>
      <c r="AJ9" s="301"/>
      <c r="AK9" s="302"/>
      <c r="AL9" s="307"/>
      <c r="AM9" s="307"/>
      <c r="AN9" s="303"/>
      <c r="AO9" s="41"/>
      <c r="AP9" s="301">
        <f>IF($C9="","",SUBTOTAL(3,$C$6:$C9)*1)</f>
        <v>4</v>
      </c>
      <c r="AQ9" s="302" t="s">
        <v>1377</v>
      </c>
      <c r="AR9" s="303">
        <v>35</v>
      </c>
    </row>
    <row r="10" spans="1:44" ht="57" customHeight="1" x14ac:dyDescent="0.7">
      <c r="A10" s="155">
        <f>IF($C10="","",SUBTOTAL(3,$C$6:$C10)*1)</f>
        <v>5</v>
      </c>
      <c r="B10" s="251"/>
      <c r="C10" s="238" t="s">
        <v>1381</v>
      </c>
      <c r="D10" s="157" t="s">
        <v>765</v>
      </c>
      <c r="E10" s="239" t="s">
        <v>905</v>
      </c>
      <c r="G10" s="296"/>
      <c r="H10" s="297"/>
      <c r="I10" s="298"/>
      <c r="J10" s="298"/>
      <c r="K10" s="298"/>
      <c r="L10" s="41"/>
      <c r="M10" s="296">
        <f>IF($C10="","",SUBTOTAL(3,$C$6:$C10)*1)</f>
        <v>5</v>
      </c>
      <c r="N10" s="297" t="s">
        <v>1382</v>
      </c>
      <c r="O10" s="298">
        <v>0</v>
      </c>
      <c r="P10" s="41"/>
      <c r="Q10" s="296"/>
      <c r="R10" s="297"/>
      <c r="S10" s="299"/>
      <c r="T10" s="299"/>
      <c r="U10" s="299"/>
      <c r="V10" s="41"/>
      <c r="W10" s="296">
        <f>IF($C10="","",SUBTOTAL(3,$C$6:$C10)*1)</f>
        <v>5</v>
      </c>
      <c r="X10" s="297" t="s">
        <v>1383</v>
      </c>
      <c r="Y10" s="299" t="s">
        <v>1384</v>
      </c>
      <c r="Z10" s="299" t="s">
        <v>1367</v>
      </c>
      <c r="AA10" s="299" t="s">
        <v>1385</v>
      </c>
      <c r="AB10" s="300">
        <v>3</v>
      </c>
      <c r="AC10" s="41"/>
      <c r="AD10" s="296"/>
      <c r="AE10" s="297"/>
      <c r="AF10" s="306"/>
      <c r="AG10" s="306"/>
      <c r="AH10" s="300"/>
      <c r="AI10" s="41"/>
      <c r="AJ10" s="296"/>
      <c r="AK10" s="297"/>
      <c r="AL10" s="306"/>
      <c r="AM10" s="306"/>
      <c r="AN10" s="298"/>
      <c r="AO10" s="41"/>
      <c r="AP10" s="296">
        <f>IF($C10="","",SUBTOTAL(3,$C$6:$C10)*1)</f>
        <v>5</v>
      </c>
      <c r="AQ10" s="297" t="s">
        <v>1382</v>
      </c>
      <c r="AR10" s="298">
        <v>0</v>
      </c>
    </row>
    <row r="11" spans="1:44" ht="36" customHeight="1" x14ac:dyDescent="0.7">
      <c r="A11" s="155">
        <f>IF($C11="","",SUBTOTAL(3,$C$6:$C11)*1)</f>
        <v>6</v>
      </c>
      <c r="B11" s="251"/>
      <c r="C11" s="238" t="s">
        <v>1386</v>
      </c>
      <c r="D11" s="157"/>
      <c r="E11" s="239" t="s">
        <v>839</v>
      </c>
      <c r="G11" s="41"/>
      <c r="H11" s="41"/>
      <c r="I11" s="41"/>
      <c r="J11" s="41"/>
      <c r="K11" s="41"/>
      <c r="L11" s="41"/>
      <c r="M11" s="296">
        <f>IF($C11="","",SUBTOTAL(3,$C$6:$C11)*1)</f>
        <v>6</v>
      </c>
      <c r="N11" s="302" t="s">
        <v>1387</v>
      </c>
      <c r="O11" s="303">
        <v>0</v>
      </c>
      <c r="P11" s="41"/>
      <c r="Q11" s="41"/>
      <c r="R11" s="41"/>
      <c r="S11" s="41"/>
      <c r="T11" s="41"/>
      <c r="U11" s="41"/>
      <c r="V11" s="41"/>
      <c r="W11" s="41"/>
      <c r="X11" s="41"/>
      <c r="Y11" s="41"/>
      <c r="Z11" s="41"/>
      <c r="AA11" s="41"/>
      <c r="AB11" s="41"/>
      <c r="AC11" s="41"/>
      <c r="AD11" s="301"/>
      <c r="AE11" s="302"/>
      <c r="AF11" s="307"/>
      <c r="AG11" s="307"/>
      <c r="AH11" s="305"/>
      <c r="AI11" s="41"/>
      <c r="AJ11" s="301"/>
      <c r="AK11" s="302"/>
      <c r="AL11" s="307"/>
      <c r="AM11" s="307"/>
      <c r="AN11" s="303"/>
      <c r="AO11" s="41"/>
      <c r="AP11" s="301">
        <f>IF($C11="","",SUBTOTAL(3,$C$6:$C11)*1)</f>
        <v>6</v>
      </c>
      <c r="AQ11" s="302" t="s">
        <v>1387</v>
      </c>
      <c r="AR11" s="303">
        <v>0</v>
      </c>
    </row>
    <row r="12" spans="1:44" ht="36" customHeight="1" x14ac:dyDescent="0.7">
      <c r="A12" s="155">
        <f>IF($C12="","",SUBTOTAL(3,$C$6:$C12)*1)</f>
        <v>7</v>
      </c>
      <c r="B12" s="251"/>
      <c r="C12" s="238" t="s">
        <v>1388</v>
      </c>
      <c r="D12" s="157"/>
      <c r="E12" s="239" t="s">
        <v>839</v>
      </c>
      <c r="G12" s="41"/>
      <c r="H12" s="41"/>
      <c r="I12" s="41"/>
      <c r="J12" s="41"/>
      <c r="K12" s="41"/>
      <c r="L12" s="41"/>
      <c r="M12" s="296">
        <f>IF($C12="","",SUBTOTAL(3,$C$6:$C12)*1)</f>
        <v>7</v>
      </c>
      <c r="N12" s="297" t="s">
        <v>1389</v>
      </c>
      <c r="O12" s="298">
        <v>0</v>
      </c>
      <c r="P12" s="41"/>
      <c r="Q12" s="41"/>
      <c r="R12" s="41"/>
      <c r="S12" s="41"/>
      <c r="T12" s="41"/>
      <c r="U12" s="41"/>
      <c r="V12" s="41"/>
      <c r="W12" s="41"/>
      <c r="X12" s="41"/>
      <c r="Y12" s="41"/>
      <c r="Z12" s="41"/>
      <c r="AA12" s="41"/>
      <c r="AB12" s="41"/>
      <c r="AC12" s="41"/>
      <c r="AD12" s="41"/>
      <c r="AE12" s="41"/>
      <c r="AF12" s="41"/>
      <c r="AG12" s="41"/>
      <c r="AH12" s="41"/>
      <c r="AI12" s="41"/>
      <c r="AJ12" s="41"/>
      <c r="AK12" s="41"/>
      <c r="AL12" s="41"/>
      <c r="AM12" s="41"/>
      <c r="AN12" s="41"/>
      <c r="AO12" s="41"/>
      <c r="AP12" s="296">
        <f>IF($C12="","",SUBTOTAL(3,$C$6:$C12)*1)</f>
        <v>7</v>
      </c>
      <c r="AQ12" s="297" t="s">
        <v>1389</v>
      </c>
      <c r="AR12" s="298">
        <v>0</v>
      </c>
    </row>
    <row r="13" spans="1:44" ht="36" customHeight="1" x14ac:dyDescent="0.7">
      <c r="A13" s="155">
        <f>IF($C13="","",SUBTOTAL(3,$C$6:$C13)*1)</f>
        <v>8</v>
      </c>
      <c r="B13" s="251"/>
      <c r="C13" s="238" t="s">
        <v>1390</v>
      </c>
      <c r="D13" s="157"/>
      <c r="E13" s="239" t="s">
        <v>839</v>
      </c>
      <c r="G13" s="41"/>
      <c r="H13" s="41"/>
      <c r="I13" s="41"/>
      <c r="J13" s="41"/>
      <c r="K13" s="41"/>
      <c r="L13" s="41"/>
      <c r="M13" s="296">
        <f>IF($C13="","",SUBTOTAL(3,$C$6:$C13)*1)</f>
        <v>8</v>
      </c>
      <c r="N13" s="302" t="s">
        <v>1391</v>
      </c>
      <c r="O13" s="303">
        <v>0</v>
      </c>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301">
        <f>IF($C13="","",SUBTOTAL(3,$C$6:$C13)*1)</f>
        <v>8</v>
      </c>
      <c r="AQ13" s="302" t="s">
        <v>1391</v>
      </c>
      <c r="AR13" s="303">
        <v>0</v>
      </c>
    </row>
    <row r="14" spans="1:44" ht="55.8" customHeight="1" x14ac:dyDescent="0.7">
      <c r="A14" s="155">
        <f>IF($C14="","",SUBTOTAL(3,$C$6:$C14)*1)</f>
        <v>9</v>
      </c>
      <c r="B14" s="251"/>
      <c r="C14" t="s">
        <v>1796</v>
      </c>
      <c r="D14" s="157" t="s">
        <v>767</v>
      </c>
      <c r="E14" s="239" t="s">
        <v>839</v>
      </c>
      <c r="G14" s="41"/>
      <c r="H14" s="41"/>
      <c r="I14" s="41"/>
      <c r="J14" s="41"/>
      <c r="K14" s="41"/>
      <c r="L14" s="41"/>
      <c r="M14" s="296">
        <f>IF($C14="","",SUBTOTAL(3,$C$6:$C14)*1)</f>
        <v>9</v>
      </c>
      <c r="N14" s="297" t="s">
        <v>1392</v>
      </c>
      <c r="O14" s="298">
        <v>0</v>
      </c>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296">
        <f>IF($C14="","",SUBTOTAL(3,$C$6:$C14)*1)</f>
        <v>9</v>
      </c>
      <c r="AQ14" s="297" t="s">
        <v>1392</v>
      </c>
      <c r="AR14" s="298">
        <v>0</v>
      </c>
    </row>
    <row r="15" spans="1:44" ht="36" customHeight="1" x14ac:dyDescent="0.7">
      <c r="A15" s="155">
        <f>IF($C15="","",SUBTOTAL(3,$C$6:$C15)*1)</f>
        <v>10</v>
      </c>
      <c r="B15" s="251"/>
      <c r="C15" t="s">
        <v>1797</v>
      </c>
      <c r="D15" s="157" t="s">
        <v>765</v>
      </c>
      <c r="E15" s="239" t="s">
        <v>839</v>
      </c>
      <c r="G15" s="41"/>
      <c r="H15" s="41"/>
      <c r="I15" s="41"/>
      <c r="J15" s="41"/>
      <c r="K15" s="41"/>
      <c r="L15" s="41"/>
      <c r="M15" s="296">
        <f>IF($C15="","",SUBTOTAL(3,$C$6:$C15)*1)</f>
        <v>10</v>
      </c>
      <c r="N15" s="302" t="s">
        <v>1393</v>
      </c>
      <c r="O15" s="303">
        <v>0</v>
      </c>
      <c r="P15" s="41"/>
      <c r="Q15" s="41"/>
      <c r="R15" s="41"/>
      <c r="S15" s="41"/>
      <c r="T15" s="41"/>
      <c r="U15" s="41"/>
      <c r="V15" s="41"/>
      <c r="W15" s="41"/>
      <c r="X15" s="41"/>
      <c r="Y15" s="41"/>
      <c r="Z15" s="41"/>
      <c r="AA15" s="41"/>
      <c r="AB15" s="41"/>
      <c r="AC15" s="41"/>
      <c r="AD15" s="41"/>
      <c r="AE15" s="41"/>
      <c r="AF15" s="41"/>
      <c r="AG15" s="41"/>
      <c r="AH15" s="41"/>
      <c r="AI15" s="41"/>
      <c r="AJ15" s="41"/>
      <c r="AK15" s="41"/>
      <c r="AL15" s="41"/>
      <c r="AM15" s="41"/>
      <c r="AN15" s="41"/>
      <c r="AO15" s="41"/>
      <c r="AP15" s="301">
        <f>IF($C15="","",SUBTOTAL(3,$C$6:$C15)*1)</f>
        <v>10</v>
      </c>
      <c r="AQ15" s="302" t="s">
        <v>1393</v>
      </c>
      <c r="AR15" s="303">
        <v>0</v>
      </c>
    </row>
    <row r="16" spans="1:44" ht="36" customHeight="1" x14ac:dyDescent="0.7">
      <c r="A16" s="155">
        <f>IF($C16="","",SUBTOTAL(3,$C$6:$C16)*1)</f>
        <v>11</v>
      </c>
      <c r="B16" s="251"/>
      <c r="C16" s="238" t="s">
        <v>1394</v>
      </c>
      <c r="D16" s="157"/>
      <c r="E16" s="239" t="s">
        <v>854</v>
      </c>
      <c r="G16" s="41"/>
      <c r="H16" s="41"/>
      <c r="I16" s="41"/>
      <c r="J16" s="41"/>
      <c r="K16" s="41"/>
      <c r="L16" s="41"/>
      <c r="M16" s="296">
        <f>IF($C16="","",SUBTOTAL(3,$C$6:$C16)*1)</f>
        <v>11</v>
      </c>
      <c r="N16" s="297" t="s">
        <v>1395</v>
      </c>
      <c r="O16" s="298">
        <v>0</v>
      </c>
      <c r="P16" s="41"/>
      <c r="Q16" s="41"/>
      <c r="R16" s="41"/>
      <c r="S16" s="41"/>
      <c r="T16" s="41"/>
      <c r="U16" s="41"/>
      <c r="V16" s="41"/>
      <c r="W16" s="41"/>
      <c r="X16" s="41"/>
      <c r="Y16" s="41"/>
      <c r="Z16" s="41"/>
      <c r="AA16" s="41"/>
      <c r="AB16" s="41"/>
      <c r="AC16" s="41"/>
      <c r="AD16" s="41"/>
      <c r="AE16" s="41"/>
      <c r="AF16" s="41"/>
      <c r="AG16" s="41"/>
      <c r="AH16" s="41"/>
      <c r="AI16" s="41"/>
      <c r="AJ16" s="41"/>
      <c r="AK16" s="41"/>
      <c r="AL16" s="41"/>
      <c r="AM16" s="41"/>
      <c r="AN16" s="41"/>
      <c r="AO16" s="41"/>
      <c r="AP16" s="296">
        <f>IF($C16="","",SUBTOTAL(3,$C$6:$C16)*1)</f>
        <v>11</v>
      </c>
      <c r="AQ16" s="297" t="s">
        <v>1395</v>
      </c>
      <c r="AR16" s="298">
        <v>0</v>
      </c>
    </row>
    <row r="17" spans="1:44" ht="36" customHeight="1" x14ac:dyDescent="0.7">
      <c r="A17" s="155">
        <f>IF($C17="","",SUBTOTAL(3,$C$6:$C17)*1)</f>
        <v>12</v>
      </c>
      <c r="B17" s="251"/>
      <c r="C17" s="238" t="s">
        <v>1396</v>
      </c>
      <c r="D17" s="157"/>
      <c r="E17" s="239" t="s">
        <v>854</v>
      </c>
      <c r="G17" s="41"/>
      <c r="H17" s="41"/>
      <c r="I17" s="41"/>
      <c r="J17" s="41"/>
      <c r="K17" s="41"/>
      <c r="L17" s="41"/>
      <c r="M17" s="296">
        <f>IF($C17="","",SUBTOTAL(3,$C$6:$C17)*1)</f>
        <v>12</v>
      </c>
      <c r="N17" s="302" t="s">
        <v>1397</v>
      </c>
      <c r="O17" s="303">
        <v>0</v>
      </c>
      <c r="P17" s="41"/>
      <c r="Q17" s="41"/>
      <c r="R17" s="41"/>
      <c r="S17" s="41"/>
      <c r="T17" s="41"/>
      <c r="U17" s="41"/>
      <c r="V17" s="41"/>
      <c r="W17" s="41"/>
      <c r="X17" s="41"/>
      <c r="Y17" s="41"/>
      <c r="Z17" s="41"/>
      <c r="AA17" s="41"/>
      <c r="AB17" s="41"/>
      <c r="AC17" s="41"/>
      <c r="AD17" s="41"/>
      <c r="AE17" s="41"/>
      <c r="AF17" s="41"/>
      <c r="AG17" s="41"/>
      <c r="AH17" s="41"/>
      <c r="AI17" s="41"/>
      <c r="AJ17" s="41"/>
      <c r="AK17" s="41"/>
      <c r="AL17" s="41"/>
      <c r="AM17" s="41"/>
      <c r="AN17" s="41"/>
      <c r="AO17" s="41"/>
      <c r="AP17" s="301">
        <f>IF($C17="","",SUBTOTAL(3,$C$6:$C17)*1)</f>
        <v>12</v>
      </c>
      <c r="AQ17" s="302" t="s">
        <v>1397</v>
      </c>
      <c r="AR17" s="303">
        <v>0</v>
      </c>
    </row>
    <row r="18" spans="1:44" ht="36" customHeight="1" x14ac:dyDescent="0.7">
      <c r="A18" s="155">
        <f>IF($C18="","",SUBTOTAL(3,$C$6:$C18)*1)</f>
        <v>13</v>
      </c>
      <c r="B18" s="251"/>
      <c r="C18" s="238" t="s">
        <v>1398</v>
      </c>
      <c r="D18" s="157"/>
      <c r="E18" s="239" t="s">
        <v>854</v>
      </c>
    </row>
    <row r="19" spans="1:44" ht="36" customHeight="1" x14ac:dyDescent="0.7">
      <c r="A19" s="155">
        <f>IF($C19="","",SUBTOTAL(3,$C$6:$C19)*1)</f>
        <v>14</v>
      </c>
      <c r="B19" s="251"/>
      <c r="C19" s="238" t="s">
        <v>1399</v>
      </c>
      <c r="D19" s="157"/>
      <c r="E19" s="239" t="s">
        <v>854</v>
      </c>
    </row>
    <row r="20" spans="1:44" ht="36" customHeight="1" x14ac:dyDescent="0.7">
      <c r="A20" s="155">
        <f>IF($C20="","",SUBTOTAL(3,$C$6:$C20)*1)</f>
        <v>15</v>
      </c>
      <c r="B20" s="251"/>
      <c r="C20" s="238" t="s">
        <v>1400</v>
      </c>
      <c r="D20" s="157"/>
      <c r="E20" s="239" t="s">
        <v>854</v>
      </c>
    </row>
    <row r="21" spans="1:44" ht="36" customHeight="1" x14ac:dyDescent="0.7">
      <c r="A21" s="155">
        <f>IF($C21="","",SUBTOTAL(3,$C$6:$C21)*1)</f>
        <v>16</v>
      </c>
      <c r="B21" s="251"/>
      <c r="C21" s="238" t="s">
        <v>1401</v>
      </c>
      <c r="D21" s="157">
        <v>480</v>
      </c>
      <c r="E21" s="239" t="s">
        <v>854</v>
      </c>
    </row>
    <row r="22" spans="1:44" ht="36" customHeight="1" x14ac:dyDescent="0.7">
      <c r="A22" s="155">
        <f>IF($C22="","",SUBTOTAL(3,$C$6:$C22)*1)</f>
        <v>17</v>
      </c>
      <c r="B22" s="251"/>
      <c r="C22" s="238" t="s">
        <v>1402</v>
      </c>
      <c r="D22" s="157"/>
      <c r="E22" s="239" t="s">
        <v>839</v>
      </c>
    </row>
    <row r="23" spans="1:44" ht="36" customHeight="1" x14ac:dyDescent="0.7">
      <c r="A23" s="155">
        <f>IF($C23="","",SUBTOTAL(3,$C$6:$C23)*1)</f>
        <v>18</v>
      </c>
      <c r="B23" s="251"/>
      <c r="C23" s="238" t="s">
        <v>1403</v>
      </c>
      <c r="D23" s="157"/>
      <c r="E23" s="239" t="s">
        <v>854</v>
      </c>
    </row>
    <row r="24" spans="1:44" ht="36" customHeight="1" x14ac:dyDescent="0.7">
      <c r="A24" s="155">
        <f>IF($C24="","",SUBTOTAL(3,$C$6:$C24)*1)</f>
        <v>19</v>
      </c>
      <c r="B24" s="251"/>
      <c r="C24" s="238" t="s">
        <v>1404</v>
      </c>
      <c r="D24" s="157"/>
      <c r="E24" s="239" t="s">
        <v>854</v>
      </c>
    </row>
    <row r="25" spans="1:44" ht="36" customHeight="1" x14ac:dyDescent="0.7">
      <c r="A25" s="155">
        <f>IF($C25="","",SUBTOTAL(3,$C$6:$C25)*1)</f>
        <v>20</v>
      </c>
      <c r="B25" s="251"/>
      <c r="C25" s="238" t="s">
        <v>1405</v>
      </c>
      <c r="D25" s="157"/>
      <c r="E25" s="239" t="s">
        <v>839</v>
      </c>
    </row>
    <row r="26" spans="1:44" ht="36" customHeight="1" x14ac:dyDescent="0.7">
      <c r="A26" s="155">
        <f>IF($C26="","",SUBTOTAL(3,$C$6:$C26)*1)</f>
        <v>21</v>
      </c>
      <c r="B26" s="251"/>
      <c r="C26" s="238" t="s">
        <v>1406</v>
      </c>
      <c r="D26" s="157">
        <v>485</v>
      </c>
      <c r="E26" s="239" t="s">
        <v>854</v>
      </c>
    </row>
    <row r="27" spans="1:44" ht="36" customHeight="1" x14ac:dyDescent="0.7">
      <c r="A27" s="155">
        <f>IF($C27="","",SUBTOTAL(3,$C$6:$C27)*1)</f>
        <v>22</v>
      </c>
      <c r="B27" s="251"/>
      <c r="C27" s="238" t="s">
        <v>1407</v>
      </c>
      <c r="D27" s="157"/>
      <c r="E27" s="239" t="s">
        <v>854</v>
      </c>
    </row>
    <row r="28" spans="1:44" ht="36" customHeight="1" x14ac:dyDescent="0.7">
      <c r="A28" s="155">
        <f>IF($C28="","",SUBTOTAL(3,$C$6:$C28)*1)</f>
        <v>23</v>
      </c>
      <c r="B28" s="251"/>
      <c r="C28" s="238" t="s">
        <v>1408</v>
      </c>
      <c r="D28" s="157"/>
      <c r="E28" s="239" t="s">
        <v>839</v>
      </c>
    </row>
    <row r="29" spans="1:44" ht="36" customHeight="1" x14ac:dyDescent="0.7">
      <c r="A29" s="155">
        <f>IF($C29="","",SUBTOTAL(3,$C$6:$C29)*1)</f>
        <v>24</v>
      </c>
      <c r="B29" s="251"/>
      <c r="C29" s="238" t="s">
        <v>1409</v>
      </c>
      <c r="D29" s="157"/>
      <c r="E29" s="239" t="s">
        <v>854</v>
      </c>
    </row>
    <row r="30" spans="1:44" ht="36" customHeight="1" x14ac:dyDescent="0.7">
      <c r="A30" s="155">
        <f>IF($C30="","",SUBTOTAL(3,$C$6:$C30)*1)</f>
        <v>25</v>
      </c>
      <c r="B30" s="251"/>
      <c r="C30" s="238" t="s">
        <v>1410</v>
      </c>
      <c r="D30" s="157"/>
      <c r="E30" s="239" t="s">
        <v>854</v>
      </c>
    </row>
    <row r="31" spans="1:44" ht="36" customHeight="1" x14ac:dyDescent="0.7">
      <c r="A31" s="155">
        <f>IF($C31="","",SUBTOTAL(3,$C$6:$C31)*1)</f>
        <v>26</v>
      </c>
      <c r="B31" s="251"/>
      <c r="C31" s="238" t="s">
        <v>1411</v>
      </c>
      <c r="D31" s="157">
        <v>23</v>
      </c>
      <c r="E31" s="239" t="s">
        <v>839</v>
      </c>
    </row>
    <row r="32" spans="1:44" ht="36" customHeight="1" x14ac:dyDescent="0.7">
      <c r="A32" s="155">
        <f>IF($C32="","",SUBTOTAL(3,$C$6:$C32)*1)</f>
        <v>27</v>
      </c>
      <c r="B32" s="251"/>
      <c r="C32" s="238" t="s">
        <v>1412</v>
      </c>
      <c r="D32" s="157">
        <v>5</v>
      </c>
      <c r="E32" s="239" t="s">
        <v>839</v>
      </c>
    </row>
    <row r="33" spans="1:5" ht="36" customHeight="1" x14ac:dyDescent="0.7">
      <c r="A33" s="155">
        <f>IF($C33="","",SUBTOTAL(3,$C$6:$C33)*1)</f>
        <v>28</v>
      </c>
      <c r="B33" s="251"/>
      <c r="C33" s="238" t="s">
        <v>1413</v>
      </c>
      <c r="D33" s="157"/>
      <c r="E33" s="239" t="s">
        <v>905</v>
      </c>
    </row>
    <row r="34" spans="1:5" ht="36" customHeight="1" x14ac:dyDescent="0.7">
      <c r="A34" s="155">
        <f>IF($C34="","",SUBTOTAL(3,$C$6:$C34)*1)</f>
        <v>29</v>
      </c>
      <c r="B34" s="251"/>
      <c r="C34" s="238" t="s">
        <v>1413</v>
      </c>
      <c r="D34" s="157" t="s">
        <v>766</v>
      </c>
      <c r="E34" s="239" t="s">
        <v>854</v>
      </c>
    </row>
    <row r="35" spans="1:5" ht="36" customHeight="1" x14ac:dyDescent="0.7">
      <c r="A35" s="155">
        <f>IF($C35="","",SUBTOTAL(3,$C$6:$C35)*1)</f>
        <v>30</v>
      </c>
      <c r="B35" s="251"/>
      <c r="C35" s="238" t="s">
        <v>1414</v>
      </c>
      <c r="D35" s="157">
        <v>100</v>
      </c>
      <c r="E35" s="239" t="s">
        <v>854</v>
      </c>
    </row>
    <row r="36" spans="1:5" ht="36" customHeight="1" x14ac:dyDescent="0.7">
      <c r="A36" s="155">
        <f>IF($C36="","",SUBTOTAL(3,$C$6:$C36)*1)</f>
        <v>31</v>
      </c>
      <c r="B36" s="251"/>
      <c r="C36" s="238" t="s">
        <v>1415</v>
      </c>
      <c r="D36" s="157">
        <v>98</v>
      </c>
      <c r="E36" s="239" t="s">
        <v>854</v>
      </c>
    </row>
    <row r="37" spans="1:5" ht="36" customHeight="1" x14ac:dyDescent="0.7">
      <c r="A37" s="155">
        <f>IF($C37="","",SUBTOTAL(3,$C$6:$C37)*1)</f>
        <v>32</v>
      </c>
      <c r="B37" s="251"/>
      <c r="C37" s="238" t="s">
        <v>1416</v>
      </c>
      <c r="D37" s="157">
        <v>87</v>
      </c>
      <c r="E37" s="239" t="s">
        <v>854</v>
      </c>
    </row>
    <row r="38" spans="1:5" ht="36" customHeight="1" x14ac:dyDescent="0.7">
      <c r="A38" s="155">
        <f>IF($C38="","",SUBTOTAL(3,$C$6:$C38)*1)</f>
        <v>33</v>
      </c>
      <c r="B38" s="251"/>
      <c r="C38" s="238" t="s">
        <v>1417</v>
      </c>
      <c r="D38" s="157">
        <v>85</v>
      </c>
      <c r="E38" s="239" t="s">
        <v>854</v>
      </c>
    </row>
    <row r="39" spans="1:5" ht="36" customHeight="1" x14ac:dyDescent="0.7">
      <c r="A39" s="155">
        <f>IF($C39="","",SUBTOTAL(3,$C$6:$C39)*1)</f>
        <v>34</v>
      </c>
      <c r="B39" s="251"/>
      <c r="C39" s="238" t="s">
        <v>1418</v>
      </c>
      <c r="D39" s="157"/>
      <c r="E39" s="239" t="s">
        <v>854</v>
      </c>
    </row>
    <row r="40" spans="1:5" ht="55.8" customHeight="1" x14ac:dyDescent="0.7">
      <c r="A40" s="155">
        <f>IF($C40="","",SUBTOTAL(3,$C$6:$C40)*1)</f>
        <v>35</v>
      </c>
      <c r="B40" s="251"/>
      <c r="C40" s="238" t="s">
        <v>1419</v>
      </c>
      <c r="D40" s="157" t="s">
        <v>767</v>
      </c>
      <c r="E40" s="239" t="s">
        <v>839</v>
      </c>
    </row>
    <row r="41" spans="1:5" ht="36" customHeight="1" x14ac:dyDescent="0.7">
      <c r="A41" s="155">
        <f>IF($C41="","",SUBTOTAL(3,$C$6:$C41)*1)</f>
        <v>36</v>
      </c>
      <c r="B41" s="251"/>
      <c r="C41" s="238" t="s">
        <v>1420</v>
      </c>
      <c r="D41" s="157"/>
      <c r="E41" s="239" t="s">
        <v>905</v>
      </c>
    </row>
    <row r="42" spans="1:5" ht="36" customHeight="1" x14ac:dyDescent="0.7">
      <c r="A42" s="155">
        <f>IF($C42="","",SUBTOTAL(3,$C$6:$C42)*1)</f>
        <v>37</v>
      </c>
      <c r="B42" s="251"/>
      <c r="C42" s="238" t="s">
        <v>1421</v>
      </c>
      <c r="D42" s="157"/>
      <c r="E42" s="239" t="s">
        <v>854</v>
      </c>
    </row>
    <row r="43" spans="1:5" ht="36" customHeight="1" x14ac:dyDescent="0.7">
      <c r="A43" s="155">
        <f>IF($C43="","",SUBTOTAL(3,$C$6:$C43)*1)</f>
        <v>38</v>
      </c>
      <c r="B43" s="251"/>
      <c r="C43" s="238" t="s">
        <v>1422</v>
      </c>
      <c r="D43" s="157"/>
      <c r="E43" s="239" t="s">
        <v>839</v>
      </c>
    </row>
    <row r="44" spans="1:5" ht="36" customHeight="1" x14ac:dyDescent="0.7">
      <c r="A44" s="155">
        <f>IF($C44="","",SUBTOTAL(3,$C$6:$C44)*1)</f>
        <v>39</v>
      </c>
      <c r="B44" s="251"/>
      <c r="C44" s="238" t="s">
        <v>1423</v>
      </c>
      <c r="D44" s="157"/>
      <c r="E44" s="239" t="s">
        <v>839</v>
      </c>
    </row>
    <row r="45" spans="1:5" ht="36" customHeight="1" x14ac:dyDescent="0.7">
      <c r="A45" s="155">
        <f>IF($C45="","",SUBTOTAL(3,$C$6:$C45)*1)</f>
        <v>40</v>
      </c>
      <c r="B45" s="251"/>
      <c r="C45" s="238" t="s">
        <v>125</v>
      </c>
      <c r="D45" s="157"/>
      <c r="E45" s="239" t="s">
        <v>854</v>
      </c>
    </row>
    <row r="46" spans="1:5" ht="36" customHeight="1" x14ac:dyDescent="0.7">
      <c r="A46" s="155">
        <f>IF($C46="","",SUBTOTAL(3,$C$6:$C46)*1)</f>
        <v>41</v>
      </c>
      <c r="B46" s="251"/>
      <c r="C46" s="238" t="s">
        <v>1424</v>
      </c>
      <c r="D46" s="157"/>
      <c r="E46" s="239" t="s">
        <v>854</v>
      </c>
    </row>
    <row r="47" spans="1:5" ht="36" customHeight="1" x14ac:dyDescent="0.7">
      <c r="A47" s="155">
        <f>IF($C47="","",SUBTOTAL(3,$C$6:$C47)*1)</f>
        <v>42</v>
      </c>
      <c r="B47" s="251"/>
      <c r="C47" s="238" t="s">
        <v>1425</v>
      </c>
      <c r="D47" s="157"/>
      <c r="E47" s="239" t="s">
        <v>854</v>
      </c>
    </row>
    <row r="48" spans="1:5" ht="36" customHeight="1" x14ac:dyDescent="0.7">
      <c r="A48" s="155">
        <f>IF($C48="","",SUBTOTAL(3,$C$6:$C48)*1)</f>
        <v>43</v>
      </c>
      <c r="B48" s="251"/>
      <c r="C48" s="238" t="s">
        <v>1426</v>
      </c>
      <c r="D48" s="157"/>
      <c r="E48" s="239" t="s">
        <v>854</v>
      </c>
    </row>
    <row r="49" spans="1:5" ht="36" customHeight="1" x14ac:dyDescent="0.7">
      <c r="A49" s="155">
        <f>IF($C49="","",SUBTOTAL(3,$C$6:$C49)*1)</f>
        <v>44</v>
      </c>
      <c r="B49" s="251"/>
      <c r="C49" s="238" t="s">
        <v>1427</v>
      </c>
      <c r="D49" s="157"/>
      <c r="E49" s="239" t="s">
        <v>839</v>
      </c>
    </row>
    <row r="50" spans="1:5" ht="36" customHeight="1" x14ac:dyDescent="0.7">
      <c r="A50" s="155">
        <f>IF($C50="","",SUBTOTAL(3,$C$6:$C50)*1)</f>
        <v>45</v>
      </c>
      <c r="B50" s="251"/>
      <c r="C50" s="238" t="s">
        <v>1428</v>
      </c>
      <c r="D50" s="157"/>
      <c r="E50" s="239" t="s">
        <v>854</v>
      </c>
    </row>
    <row r="51" spans="1:5" ht="36" customHeight="1" x14ac:dyDescent="0.7">
      <c r="A51" s="155">
        <f>IF($C51="","",SUBTOTAL(3,$C$6:$C51)*1)</f>
        <v>46</v>
      </c>
      <c r="B51" s="251"/>
      <c r="C51" s="238" t="s">
        <v>1429</v>
      </c>
      <c r="D51" s="157"/>
      <c r="E51" s="239" t="s">
        <v>854</v>
      </c>
    </row>
    <row r="52" spans="1:5" ht="36" customHeight="1" x14ac:dyDescent="0.7">
      <c r="A52" s="155">
        <f>IF($C52="","",SUBTOTAL(3,$C$6:$C52)*1)</f>
        <v>47</v>
      </c>
      <c r="B52" s="251"/>
      <c r="C52" s="238" t="s">
        <v>1430</v>
      </c>
      <c r="D52" s="157"/>
      <c r="E52" s="239" t="s">
        <v>854</v>
      </c>
    </row>
    <row r="53" spans="1:5" ht="36" customHeight="1" x14ac:dyDescent="0.7">
      <c r="A53" s="155">
        <f>IF($C53="","",SUBTOTAL(3,$C$6:$C53)*1)</f>
        <v>48</v>
      </c>
      <c r="B53" s="251"/>
      <c r="C53" s="238" t="s">
        <v>1431</v>
      </c>
      <c r="D53" s="157"/>
      <c r="E53" s="239" t="s">
        <v>839</v>
      </c>
    </row>
    <row r="54" spans="1:5" ht="36" customHeight="1" x14ac:dyDescent="0.7">
      <c r="A54" s="155">
        <f>IF($C54="","",SUBTOTAL(3,$C$6:$C54)*1)</f>
        <v>49</v>
      </c>
      <c r="B54" s="251"/>
      <c r="C54" s="238" t="s">
        <v>1432</v>
      </c>
      <c r="D54" s="157" t="s">
        <v>766</v>
      </c>
      <c r="E54" s="239" t="s">
        <v>905</v>
      </c>
    </row>
    <row r="55" spans="1:5" ht="36" customHeight="1" x14ac:dyDescent="0.7">
      <c r="A55" s="155">
        <f>IF($C55="","",SUBTOTAL(3,$C$6:$C55)*1)</f>
        <v>50</v>
      </c>
      <c r="B55" s="251"/>
      <c r="C55" s="238" t="s">
        <v>1433</v>
      </c>
      <c r="D55" s="157" t="s">
        <v>765</v>
      </c>
      <c r="E55" s="239" t="s">
        <v>905</v>
      </c>
    </row>
    <row r="56" spans="1:5" ht="36" customHeight="1" x14ac:dyDescent="0.7">
      <c r="A56" s="155">
        <f>IF($C56="","",SUBTOTAL(3,$C$6:$C56)*1)</f>
        <v>51</v>
      </c>
      <c r="B56" s="251"/>
      <c r="C56" s="238" t="s">
        <v>1434</v>
      </c>
      <c r="D56" s="157" t="s">
        <v>766</v>
      </c>
      <c r="E56" s="239" t="s">
        <v>905</v>
      </c>
    </row>
    <row r="57" spans="1:5" ht="36" customHeight="1" x14ac:dyDescent="0.7">
      <c r="A57" s="155">
        <f>IF($C57="","",SUBTOTAL(3,$C$6:$C57)*1)</f>
        <v>52</v>
      </c>
      <c r="B57" s="251"/>
      <c r="C57" s="238" t="s">
        <v>1435</v>
      </c>
      <c r="D57" s="157"/>
      <c r="E57" s="239" t="s">
        <v>839</v>
      </c>
    </row>
    <row r="58" spans="1:5" ht="36" customHeight="1" x14ac:dyDescent="0.7">
      <c r="A58" s="155">
        <f>IF($C58="","",SUBTOTAL(3,$C$6:$C58)*1)</f>
        <v>53</v>
      </c>
      <c r="B58" s="251"/>
      <c r="C58" s="238" t="s">
        <v>1436</v>
      </c>
      <c r="D58" s="157"/>
      <c r="E58" s="239" t="s">
        <v>839</v>
      </c>
    </row>
    <row r="59" spans="1:5" ht="36" customHeight="1" x14ac:dyDescent="0.7">
      <c r="A59" s="155">
        <f>IF($C59="","",SUBTOTAL(3,$C$6:$C59)*1)</f>
        <v>54</v>
      </c>
      <c r="B59" s="251"/>
      <c r="C59" s="238" t="s">
        <v>1437</v>
      </c>
      <c r="D59" s="157"/>
      <c r="E59" s="239" t="s">
        <v>839</v>
      </c>
    </row>
    <row r="60" spans="1:5" ht="36" customHeight="1" x14ac:dyDescent="0.7">
      <c r="A60" s="155">
        <f>IF($C60="","",SUBTOTAL(3,$C$6:$C60)*1)</f>
        <v>55</v>
      </c>
      <c r="B60" s="251"/>
      <c r="C60" s="238" t="s">
        <v>1438</v>
      </c>
      <c r="D60" s="157"/>
      <c r="E60" s="239"/>
    </row>
    <row r="61" spans="1:5" ht="36" customHeight="1" x14ac:dyDescent="0.7">
      <c r="A61" s="155">
        <f>IF($C61="","",SUBTOTAL(3,$C$6:$C61)*1)</f>
        <v>56</v>
      </c>
      <c r="B61" s="251"/>
      <c r="C61" s="238" t="s">
        <v>1439</v>
      </c>
      <c r="D61" s="157" t="s">
        <v>765</v>
      </c>
      <c r="E61" s="239" t="s">
        <v>839</v>
      </c>
    </row>
    <row r="62" spans="1:5" ht="36" customHeight="1" x14ac:dyDescent="0.7">
      <c r="A62" s="155">
        <f>IF($C62="","",SUBTOTAL(3,$C$6:$C62)*1)</f>
        <v>57</v>
      </c>
      <c r="B62" s="251"/>
      <c r="C62" s="238" t="s">
        <v>1440</v>
      </c>
      <c r="D62" s="157" t="s">
        <v>766</v>
      </c>
      <c r="E62" s="239" t="s">
        <v>905</v>
      </c>
    </row>
    <row r="63" spans="1:5" ht="36" customHeight="1" x14ac:dyDescent="0.7">
      <c r="A63" s="155">
        <f>IF($C63="","",SUBTOTAL(3,$C$6:$C63)*1)</f>
        <v>58</v>
      </c>
      <c r="B63" s="251"/>
      <c r="C63" s="238" t="s">
        <v>1441</v>
      </c>
      <c r="D63" s="157">
        <v>80</v>
      </c>
      <c r="E63" s="239" t="s">
        <v>839</v>
      </c>
    </row>
    <row r="64" spans="1:5" ht="36" customHeight="1" x14ac:dyDescent="0.7">
      <c r="A64" s="155">
        <f>IF($C64="","",SUBTOTAL(3,$C$6:$C64)*1)</f>
        <v>59</v>
      </c>
      <c r="B64" s="251"/>
      <c r="C64" s="238" t="s">
        <v>1442</v>
      </c>
      <c r="D64" s="157"/>
      <c r="E64" s="239" t="s">
        <v>839</v>
      </c>
    </row>
    <row r="65" spans="1:5" ht="36" customHeight="1" x14ac:dyDescent="0.7">
      <c r="A65" s="155">
        <f>IF($C65="","",SUBTOTAL(3,$C$6:$C65)*1)</f>
        <v>60</v>
      </c>
      <c r="B65" s="251"/>
      <c r="C65" s="238" t="s">
        <v>1443</v>
      </c>
      <c r="D65" s="157"/>
      <c r="E65" s="239" t="s">
        <v>839</v>
      </c>
    </row>
    <row r="66" spans="1:5" ht="36" customHeight="1" x14ac:dyDescent="0.7">
      <c r="A66" s="155">
        <f>IF($C66="","",SUBTOTAL(3,$C$6:$C66)*1)</f>
        <v>61</v>
      </c>
      <c r="B66" s="251"/>
      <c r="C66" s="238" t="s">
        <v>1444</v>
      </c>
      <c r="D66" s="157"/>
      <c r="E66" s="239" t="s">
        <v>905</v>
      </c>
    </row>
    <row r="67" spans="1:5" ht="36" customHeight="1" x14ac:dyDescent="0.7">
      <c r="A67" s="155">
        <f>IF($C67="","",SUBTOTAL(3,$C$6:$C67)*1)</f>
        <v>62</v>
      </c>
      <c r="B67" s="251"/>
      <c r="C67" s="238" t="s">
        <v>1445</v>
      </c>
      <c r="D67" s="157"/>
      <c r="E67" s="239" t="s">
        <v>905</v>
      </c>
    </row>
    <row r="68" spans="1:5" ht="36" customHeight="1" x14ac:dyDescent="0.7">
      <c r="A68" s="155">
        <f>IF($C68="","",SUBTOTAL(3,$C$6:$C68)*1)</f>
        <v>63</v>
      </c>
      <c r="B68" s="251"/>
      <c r="C68" s="238" t="s">
        <v>1446</v>
      </c>
      <c r="D68" s="157"/>
      <c r="E68" s="239" t="s">
        <v>854</v>
      </c>
    </row>
    <row r="69" spans="1:5" ht="36" customHeight="1" x14ac:dyDescent="0.7">
      <c r="A69" s="155">
        <f>IF($C69="","",SUBTOTAL(3,$C$6:$C69)*1)</f>
        <v>64</v>
      </c>
      <c r="B69" s="251"/>
      <c r="C69" s="238" t="s">
        <v>1447</v>
      </c>
      <c r="D69" s="157"/>
      <c r="E69" s="239" t="s">
        <v>854</v>
      </c>
    </row>
    <row r="70" spans="1:5" ht="36" customHeight="1" x14ac:dyDescent="0.7">
      <c r="A70" s="155">
        <f>IF($C70="","",SUBTOTAL(3,$C$6:$C70)*1)</f>
        <v>65</v>
      </c>
      <c r="B70" s="251"/>
      <c r="C70" s="290" t="s">
        <v>1448</v>
      </c>
      <c r="D70" s="157">
        <v>6</v>
      </c>
      <c r="E70" s="239" t="s">
        <v>839</v>
      </c>
    </row>
    <row r="71" spans="1:5" ht="36" customHeight="1" x14ac:dyDescent="0.7">
      <c r="A71" s="155">
        <f>IF($C71="","",SUBTOTAL(3,$C$6:$C71)*1)</f>
        <v>66</v>
      </c>
      <c r="B71" s="251"/>
      <c r="C71" s="290" t="s">
        <v>1449</v>
      </c>
      <c r="D71" s="157">
        <v>2</v>
      </c>
      <c r="E71" s="239" t="s">
        <v>839</v>
      </c>
    </row>
    <row r="72" spans="1:5" ht="36" customHeight="1" x14ac:dyDescent="0.7">
      <c r="A72" s="155">
        <f>IF($C72="","",SUBTOTAL(3,$C$6:$C72)*1)</f>
        <v>67</v>
      </c>
      <c r="B72" s="251"/>
      <c r="C72" s="291" t="s">
        <v>1450</v>
      </c>
      <c r="D72" s="157"/>
      <c r="E72" s="239" t="s">
        <v>839</v>
      </c>
    </row>
    <row r="73" spans="1:5" ht="36" customHeight="1" x14ac:dyDescent="0.7">
      <c r="A73" s="155">
        <f>IF($C73="","",SUBTOTAL(3,$C$6:$C73)*1)</f>
        <v>68</v>
      </c>
      <c r="B73" s="251"/>
      <c r="C73" s="291" t="s">
        <v>1451</v>
      </c>
      <c r="D73" s="157"/>
      <c r="E73" s="239" t="s">
        <v>854</v>
      </c>
    </row>
    <row r="74" spans="1:5" ht="36" customHeight="1" x14ac:dyDescent="0.7">
      <c r="A74" s="155">
        <f>IF($C74="","",SUBTOTAL(3,$C$6:$C74)*1)</f>
        <v>69</v>
      </c>
      <c r="B74" s="251"/>
      <c r="C74" s="291" t="s">
        <v>1452</v>
      </c>
      <c r="D74" s="157"/>
      <c r="E74" s="239" t="s">
        <v>839</v>
      </c>
    </row>
    <row r="75" spans="1:5" ht="36" customHeight="1" x14ac:dyDescent="0.7">
      <c r="A75" s="155">
        <f>IF($C75="","",SUBTOTAL(3,$C$6:$C75)*1)</f>
        <v>70</v>
      </c>
      <c r="B75" s="251"/>
      <c r="C75" s="291" t="s">
        <v>1453</v>
      </c>
      <c r="D75" s="157"/>
      <c r="E75" s="239" t="s">
        <v>839</v>
      </c>
    </row>
    <row r="76" spans="1:5" ht="36" customHeight="1" x14ac:dyDescent="0.7">
      <c r="A76" s="155">
        <f>IF($C76="","",SUBTOTAL(3,$C$6:$C76)*1)</f>
        <v>71</v>
      </c>
      <c r="B76" s="251"/>
      <c r="C76" s="291" t="s">
        <v>1454</v>
      </c>
      <c r="D76" s="157">
        <v>180000000</v>
      </c>
      <c r="E76" s="239" t="s">
        <v>839</v>
      </c>
    </row>
    <row r="77" spans="1:5" ht="36" customHeight="1" x14ac:dyDescent="0.7">
      <c r="A77" s="155">
        <f>IF($C77="","",SUBTOTAL(3,$C$6:$C77)*1)</f>
        <v>72</v>
      </c>
      <c r="B77" s="251"/>
      <c r="C77" s="291" t="s">
        <v>1455</v>
      </c>
      <c r="D77" s="157"/>
      <c r="E77" s="239" t="s">
        <v>839</v>
      </c>
    </row>
    <row r="78" spans="1:5" ht="36" customHeight="1" x14ac:dyDescent="0.7">
      <c r="A78" s="155">
        <f>IF($C78="","",SUBTOTAL(3,$C$6:$C80)*1)</f>
        <v>75</v>
      </c>
      <c r="B78" s="251"/>
      <c r="C78" s="291" t="s">
        <v>1456</v>
      </c>
      <c r="D78" s="157"/>
      <c r="E78" s="239" t="s">
        <v>839</v>
      </c>
    </row>
    <row r="79" spans="1:5" ht="36" customHeight="1" x14ac:dyDescent="0.7">
      <c r="A79" s="120">
        <f>IF($C79="","",SUBTOTAL(3,$C$6:$C79)*1)</f>
        <v>74</v>
      </c>
      <c r="B79" s="251"/>
      <c r="C79" s="291" t="s">
        <v>1457</v>
      </c>
      <c r="D79" s="157"/>
      <c r="E79" s="289"/>
    </row>
    <row r="80" spans="1:5" ht="36" customHeight="1" x14ac:dyDescent="0.7">
      <c r="A80" s="120">
        <f>IF($C80="","",SUBTOTAL(3,$C$6:$C80)*1)</f>
        <v>75</v>
      </c>
      <c r="B80" s="251"/>
      <c r="C80" s="291" t="s">
        <v>1458</v>
      </c>
      <c r="D80" s="157"/>
      <c r="E80" s="289"/>
    </row>
    <row r="81" ht="36.450000000000003" customHeight="1" x14ac:dyDescent="0.7"/>
    <row r="82" ht="36.450000000000003"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5234375" defaultRowHeight="20.399999999999999" x14ac:dyDescent="0.7"/>
  <cols>
    <col min="1" max="1" width="33.61328125" style="55" customWidth="1"/>
    <col min="2" max="2" width="33.61328125" style="255" customWidth="1"/>
    <col min="3" max="3" width="20.61328125" style="60" customWidth="1"/>
    <col min="4" max="4" width="12.61328125" style="142" customWidth="1"/>
    <col min="5" max="5" width="30.61328125" style="255" customWidth="1"/>
    <col min="6" max="6" width="12.61328125" style="142" customWidth="1"/>
    <col min="7" max="7" width="30.61328125" style="255" customWidth="1"/>
    <col min="8" max="8" width="12.61328125" style="142" customWidth="1"/>
    <col min="9" max="9" width="12.69140625" style="252" hidden="1" customWidth="1"/>
    <col min="10" max="81" width="9.15234375" style="253"/>
    <col min="82" max="16384" width="9.15234375" style="37"/>
  </cols>
  <sheetData>
    <row r="1" spans="1:81" ht="21" customHeight="1" x14ac:dyDescent="0.7">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7">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7">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4.95" customHeight="1" x14ac:dyDescent="0.7">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58.2" customHeight="1" x14ac:dyDescent="0.7">
      <c r="A6" s="280" t="s">
        <v>1459</v>
      </c>
      <c r="B6" s="218" t="s">
        <v>1460</v>
      </c>
      <c r="C6" s="161">
        <v>2800000000</v>
      </c>
      <c r="D6" s="141"/>
      <c r="E6" s="254"/>
      <c r="F6" s="222"/>
      <c r="G6" s="254"/>
      <c r="H6" s="222"/>
      <c r="I6" s="337" t="s">
        <v>1461</v>
      </c>
    </row>
    <row r="7" spans="1:81" ht="36.450000000000003" customHeight="1" x14ac:dyDescent="0.7">
      <c r="A7" s="281"/>
      <c r="B7" s="218" t="s">
        <v>1462</v>
      </c>
      <c r="C7" s="161">
        <v>3100000000</v>
      </c>
      <c r="D7" s="141"/>
      <c r="E7" s="254"/>
      <c r="F7" s="222"/>
      <c r="G7" s="254"/>
      <c r="H7" s="222"/>
      <c r="I7" s="337"/>
    </row>
    <row r="8" spans="1:81" ht="42.6" customHeight="1" x14ac:dyDescent="0.7">
      <c r="A8" s="280" t="s">
        <v>1463</v>
      </c>
      <c r="B8" s="218" t="s">
        <v>1464</v>
      </c>
      <c r="C8" s="161">
        <v>15</v>
      </c>
      <c r="D8" s="141"/>
      <c r="E8" s="254"/>
      <c r="F8" s="222"/>
      <c r="G8" s="254"/>
      <c r="H8" s="222"/>
      <c r="I8" s="337" t="s">
        <v>1465</v>
      </c>
    </row>
    <row r="9" spans="1:81" ht="28.95" customHeight="1" x14ac:dyDescent="0.7">
      <c r="A9" s="281"/>
      <c r="B9" s="218" t="s">
        <v>1466</v>
      </c>
      <c r="C9" s="161">
        <v>20</v>
      </c>
      <c r="D9" s="141"/>
      <c r="E9" s="254"/>
      <c r="F9" s="222"/>
      <c r="G9" s="254"/>
      <c r="H9" s="222"/>
      <c r="I9" s="337"/>
    </row>
    <row r="10" spans="1:81" ht="42.6" customHeight="1" x14ac:dyDescent="0.7">
      <c r="A10" s="187" t="s">
        <v>1467</v>
      </c>
      <c r="B10" s="218" t="s">
        <v>1468</v>
      </c>
      <c r="C10" s="161">
        <v>5</v>
      </c>
      <c r="D10" s="141"/>
      <c r="E10" s="254"/>
      <c r="F10" s="222"/>
      <c r="G10" s="254"/>
      <c r="H10" s="222"/>
      <c r="I10" s="220" t="s">
        <v>1469</v>
      </c>
    </row>
    <row r="11" spans="1:81" ht="56.55" customHeight="1" x14ac:dyDescent="0.7">
      <c r="A11" s="187" t="s">
        <v>1470</v>
      </c>
      <c r="B11" s="218" t="s">
        <v>1471</v>
      </c>
      <c r="C11" s="161">
        <v>12</v>
      </c>
      <c r="D11" s="141"/>
      <c r="E11" s="254"/>
      <c r="F11" s="222"/>
      <c r="G11" s="254"/>
      <c r="H11" s="222"/>
      <c r="I11" s="220" t="s">
        <v>1472</v>
      </c>
    </row>
    <row r="12" spans="1:81" ht="28.95" customHeight="1" x14ac:dyDescent="0.7">
      <c r="A12" s="187" t="s">
        <v>1473</v>
      </c>
      <c r="B12" s="218" t="s">
        <v>1474</v>
      </c>
      <c r="C12" s="161">
        <v>10</v>
      </c>
      <c r="D12" s="141"/>
      <c r="E12" s="254"/>
      <c r="F12" s="222"/>
      <c r="G12" s="254"/>
      <c r="H12" s="222"/>
      <c r="I12" s="220" t="s">
        <v>1475</v>
      </c>
    </row>
    <row r="13" spans="1:81" ht="42.6" customHeight="1" x14ac:dyDescent="0.7">
      <c r="A13" s="338" t="s">
        <v>1476</v>
      </c>
      <c r="B13" s="218" t="s">
        <v>1477</v>
      </c>
      <c r="C13" s="161">
        <v>2000000</v>
      </c>
      <c r="D13" s="141"/>
      <c r="E13" s="254"/>
      <c r="F13" s="222"/>
      <c r="G13" s="254"/>
      <c r="H13" s="222"/>
      <c r="I13" s="337" t="s">
        <v>1478</v>
      </c>
    </row>
    <row r="14" spans="1:81" ht="28.95" customHeight="1" x14ac:dyDescent="0.7">
      <c r="A14" s="339"/>
      <c r="B14" s="218" t="s">
        <v>1479</v>
      </c>
      <c r="C14" s="161">
        <v>2900000000</v>
      </c>
      <c r="D14" s="141"/>
      <c r="E14" s="254"/>
      <c r="F14" s="222"/>
      <c r="G14" s="254"/>
      <c r="H14" s="222"/>
      <c r="I14" s="337"/>
    </row>
    <row r="15" spans="1:81" ht="42.6" customHeight="1" x14ac:dyDescent="0.7">
      <c r="A15" s="187" t="s">
        <v>1480</v>
      </c>
      <c r="B15" s="218" t="s">
        <v>1481</v>
      </c>
      <c r="C15" s="60">
        <v>800000</v>
      </c>
      <c r="D15" s="141"/>
      <c r="E15" s="254"/>
      <c r="F15" s="222"/>
      <c r="G15" s="254"/>
      <c r="H15" s="222"/>
      <c r="I15" s="220" t="s">
        <v>1482</v>
      </c>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mergeCells count="4">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66493EFB-D61B-45A4-8430-1700A58BEC45}">
          <x14:formula1>
            <xm:f>Setting!$E$6:$E$105</xm:f>
          </x14:formula1>
          <xm:sqref>C6:C14</xm:sqref>
        </x14:dataValidation>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L6" activePane="bottomRight" state="frozen"/>
      <selection pane="topRight" activeCell="D23" sqref="D23"/>
      <selection pane="bottomLeft" activeCell="D23" sqref="D23"/>
      <selection pane="bottomRight" activeCell="A6" sqref="A6:A7"/>
    </sheetView>
  </sheetViews>
  <sheetFormatPr defaultColWidth="9.15234375" defaultRowHeight="20.399999999999999" x14ac:dyDescent="0.7"/>
  <cols>
    <col min="1" max="1" width="33.69140625" style="3" customWidth="1"/>
    <col min="2" max="2" width="9.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47"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6.55" customHeight="1" x14ac:dyDescent="0.7">
      <c r="A6" s="338" t="s">
        <v>1459</v>
      </c>
      <c r="B6" s="220" t="s">
        <v>1460</v>
      </c>
      <c r="C6" s="344">
        <f>('DevCoAssessmentInput(CE&amp;O)'!$C$7-'DevCoAssessmentInput(CE&amp;O)'!$C$6)/'DevCoAssessmentInput(CE&amp;O)'!$C$6</f>
        <v>0.10714285714285714</v>
      </c>
      <c r="D6" s="345" t="str">
        <f>_xlfn.IFS($C$6&lt;0.1,"Good",$C$6&lt;=0.2,"Satisfactory",$C$6&gt;0.2,"Needs Improvement")</f>
        <v>Satisfactory</v>
      </c>
      <c r="E6" s="346">
        <f>_xlfn.IFS($D$6="Good", 3, $D$6="Satisfactory", 2, $D$6="Needs Improvement", 1)</f>
        <v>2</v>
      </c>
      <c r="F6" s="344">
        <v>0.8</v>
      </c>
      <c r="G6" s="347" t="s">
        <v>1461</v>
      </c>
      <c r="H6" s="344" t="s">
        <v>1024</v>
      </c>
      <c r="I6" s="344" t="s">
        <v>1483</v>
      </c>
      <c r="J6" s="344" t="s">
        <v>1484</v>
      </c>
      <c r="K6" s="342"/>
      <c r="L6" s="352" t="s">
        <v>1485</v>
      </c>
      <c r="M6" s="350">
        <f>($F$6*$E$6+$F$8*$E$8)</f>
        <v>1.8</v>
      </c>
      <c r="N6" s="351">
        <v>0.6</v>
      </c>
      <c r="O6" s="342"/>
      <c r="P6" s="343" t="s">
        <v>1486</v>
      </c>
      <c r="Q6" s="341">
        <f>($N$6*$M$6+$N$10*$M$10+$N$13*$M$13)</f>
        <v>1.6800000000000002</v>
      </c>
      <c r="R6" s="342" t="s">
        <v>1487</v>
      </c>
    </row>
    <row r="7" spans="1:81" ht="13.95" hidden="1" customHeight="1" x14ac:dyDescent="0.7">
      <c r="A7" s="339"/>
      <c r="B7" s="220" t="s">
        <v>1462</v>
      </c>
      <c r="C7" s="344"/>
      <c r="D7" s="345"/>
      <c r="E7" s="346"/>
      <c r="F7" s="344"/>
      <c r="G7" s="349"/>
      <c r="H7" s="344"/>
      <c r="I7" s="344"/>
      <c r="J7" s="344"/>
      <c r="K7" s="342"/>
      <c r="L7" s="352"/>
      <c r="M7" s="350"/>
      <c r="N7" s="351"/>
      <c r="O7" s="342"/>
      <c r="P7" s="343"/>
      <c r="Q7" s="341"/>
      <c r="R7" s="342"/>
    </row>
    <row r="8" spans="1:81" ht="42.6" customHeight="1" x14ac:dyDescent="0.7">
      <c r="A8" s="338" t="s">
        <v>1463</v>
      </c>
      <c r="B8" s="220" t="s">
        <v>1464</v>
      </c>
      <c r="C8" s="344">
        <f>'DevCoAssessmentInput(CE&amp;O)'!$C$8/'DevCoAssessmentInput(CE&amp;O)'!$C$9</f>
        <v>0.75</v>
      </c>
      <c r="D8" s="345" t="str">
        <f>_xlfn.IFS($C$8&lt;0.1,"Good",$C$8&lt;=0.3,"Satisfactory",$C$8&gt;0.3,"Needs Improvement")</f>
        <v>Needs Improvement</v>
      </c>
      <c r="E8" s="346">
        <f>_xlfn.IFS($D$8="Good", 3, $D$8="Satisfactory", 2, $D$8="Needs Improvement", 1)</f>
        <v>1</v>
      </c>
      <c r="F8" s="344">
        <v>0.2</v>
      </c>
      <c r="G8" s="347" t="s">
        <v>1465</v>
      </c>
      <c r="H8" s="344" t="s">
        <v>1024</v>
      </c>
      <c r="I8" s="344" t="s">
        <v>1025</v>
      </c>
      <c r="J8" s="344" t="s">
        <v>1009</v>
      </c>
      <c r="K8" s="342"/>
      <c r="L8" s="352"/>
      <c r="M8" s="350"/>
      <c r="N8" s="351"/>
      <c r="O8" s="342"/>
      <c r="P8" s="343"/>
      <c r="Q8" s="341"/>
      <c r="R8" s="342"/>
    </row>
    <row r="9" spans="1:81" ht="13.95" hidden="1" customHeight="1" x14ac:dyDescent="0.7">
      <c r="A9" s="339"/>
      <c r="B9" s="220" t="s">
        <v>1466</v>
      </c>
      <c r="C9" s="344"/>
      <c r="D9" s="345"/>
      <c r="E9" s="346"/>
      <c r="F9" s="344"/>
      <c r="G9" s="349"/>
      <c r="H9" s="344"/>
      <c r="I9" s="344"/>
      <c r="J9" s="344"/>
      <c r="K9" s="342"/>
      <c r="L9" s="352"/>
      <c r="M9" s="350"/>
      <c r="N9" s="351"/>
      <c r="O9" s="342"/>
      <c r="P9" s="343"/>
      <c r="Q9" s="341"/>
      <c r="R9" s="342"/>
    </row>
    <row r="10" spans="1:81" ht="56.55" customHeight="1" x14ac:dyDescent="0.7">
      <c r="A10" s="187" t="s">
        <v>1467</v>
      </c>
      <c r="B10" s="220" t="s">
        <v>1468</v>
      </c>
      <c r="C10" s="228">
        <f>'DevCoAssessmentInput(CE&amp;O)'!$C$10/'DevCoAssessmentInput(CE&amp;O)'!$C$9</f>
        <v>0.25</v>
      </c>
      <c r="D10" s="226" t="str">
        <f>_xlfn.IFS($C$10&lt;0.1,"Good",$C$10&lt;=0.3,"Satisfactory",$C$10&gt;0.3,"Needs Improvement")</f>
        <v>Satisfactory</v>
      </c>
      <c r="E10" s="227">
        <f>_xlfn.IFS($D$10="Good", 3, $D$10="Satisfactory", 2, $D$10="Needs Improvement", 1)</f>
        <v>2</v>
      </c>
      <c r="F10" s="228">
        <v>0.2</v>
      </c>
      <c r="G10" s="218" t="s">
        <v>1469</v>
      </c>
      <c r="H10" s="228" t="s">
        <v>1024</v>
      </c>
      <c r="I10" s="228" t="s">
        <v>1025</v>
      </c>
      <c r="J10" s="228" t="s">
        <v>1009</v>
      </c>
      <c r="K10" s="229"/>
      <c r="L10" s="352" t="s">
        <v>1488</v>
      </c>
      <c r="M10" s="350">
        <f>($F$10*$E$10+$F$11*$E$11+$F$12*$E$12)</f>
        <v>1.2000000000000002</v>
      </c>
      <c r="N10" s="351">
        <v>0.2</v>
      </c>
      <c r="O10" s="342"/>
      <c r="P10" s="343"/>
      <c r="Q10" s="341"/>
      <c r="R10" s="342"/>
    </row>
    <row r="11" spans="1:81" ht="56.55" customHeight="1" x14ac:dyDescent="0.7">
      <c r="A11" s="187" t="s">
        <v>1470</v>
      </c>
      <c r="B11" s="220" t="s">
        <v>1471</v>
      </c>
      <c r="C11" s="228">
        <f>'DevCoAssessmentInput(CE&amp;O)'!$C$11/'DevCoAssessmentInput(CE&amp;O)'!$C$9</f>
        <v>0.6</v>
      </c>
      <c r="D11" s="226" t="str">
        <f>_xlfn.IFS($C$11&lt;0.05,"Good",$C$11&lt;=0.15,"Satisfactory",$C$11&gt;0.15,"Needs Improvement")</f>
        <v>Needs Improvement</v>
      </c>
      <c r="E11" s="227">
        <f>_xlfn.IFS($D$11="Good", 3, $D$11="Satisfactory", 2, $D$11="Needs Improvement", 1)</f>
        <v>1</v>
      </c>
      <c r="F11" s="228">
        <v>0.4</v>
      </c>
      <c r="G11" s="218" t="s">
        <v>1472</v>
      </c>
      <c r="H11" s="228" t="s">
        <v>1489</v>
      </c>
      <c r="I11" s="228" t="s">
        <v>1490</v>
      </c>
      <c r="J11" s="228" t="s">
        <v>1491</v>
      </c>
      <c r="K11" s="229"/>
      <c r="L11" s="352"/>
      <c r="M11" s="350"/>
      <c r="N11" s="351"/>
      <c r="O11" s="342"/>
      <c r="P11" s="343"/>
      <c r="Q11" s="341"/>
      <c r="R11" s="342"/>
    </row>
    <row r="12" spans="1:81" ht="42.6" customHeight="1" x14ac:dyDescent="0.7">
      <c r="A12" s="187" t="s">
        <v>1473</v>
      </c>
      <c r="B12" s="220" t="s">
        <v>1474</v>
      </c>
      <c r="C12" s="228">
        <f>'DevCoAssessmentInput(CE&amp;O)'!$C$12/'DevCoAssessmentInput(CE&amp;O)'!$C$9</f>
        <v>0.5</v>
      </c>
      <c r="D12" s="226" t="str">
        <f>_xlfn.IFS($C$12&lt;0.02,"Good",$C$12&lt;=0.05,"Satisfactory",$C$12&gt;0.05,"Needs Improvement")</f>
        <v>Needs Improvement</v>
      </c>
      <c r="E12" s="227">
        <f>_xlfn.IFS($D$12="Good", 3, $D$12="Satisfactory", 2, $D$12="Needs Improvement", 1)</f>
        <v>1</v>
      </c>
      <c r="F12" s="228">
        <v>0.4</v>
      </c>
      <c r="G12" s="218" t="s">
        <v>1475</v>
      </c>
      <c r="H12" s="228" t="s">
        <v>1492</v>
      </c>
      <c r="I12" s="228" t="s">
        <v>1493</v>
      </c>
      <c r="J12" s="228" t="s">
        <v>1494</v>
      </c>
      <c r="K12" s="229"/>
      <c r="L12" s="352"/>
      <c r="M12" s="350"/>
      <c r="N12" s="351"/>
      <c r="O12" s="342"/>
      <c r="P12" s="343"/>
      <c r="Q12" s="341"/>
      <c r="R12" s="342"/>
    </row>
    <row r="13" spans="1:81" ht="42.6" customHeight="1" x14ac:dyDescent="0.7">
      <c r="A13" s="338" t="s">
        <v>1476</v>
      </c>
      <c r="B13" s="220" t="s">
        <v>1477</v>
      </c>
      <c r="C13" s="344">
        <f>'DevCoAssessmentInput(CE&amp;O)'!$C$13/'DevCoAssessmentInput(CE&amp;O)'!$C$14</f>
        <v>6.8965517241379305E-4</v>
      </c>
      <c r="D13" s="345" t="str">
        <f>_xlfn.IFS($C$13&lt;0.05,"Good",$C$13&lt;=0.15,"Satisfactory",$C$13&gt;0.15,"Needs Improvement")</f>
        <v>Good</v>
      </c>
      <c r="E13" s="346">
        <f>_xlfn.IFS($D$13="Good", 3, $D$13="Satisfactory", 2, $D$13="Needs Improvement", 1)</f>
        <v>3</v>
      </c>
      <c r="F13" s="344">
        <v>0.4</v>
      </c>
      <c r="G13" s="347" t="s">
        <v>1478</v>
      </c>
      <c r="H13" s="344" t="s">
        <v>1489</v>
      </c>
      <c r="I13" s="344" t="s">
        <v>1490</v>
      </c>
      <c r="J13" s="344" t="s">
        <v>1491</v>
      </c>
      <c r="K13" s="342"/>
      <c r="L13" s="352" t="s">
        <v>1495</v>
      </c>
      <c r="M13" s="350">
        <f>($F$13*$E$13+$F$15*$E$15)</f>
        <v>1.8000000000000003</v>
      </c>
      <c r="N13" s="351">
        <v>0.2</v>
      </c>
      <c r="O13" s="342"/>
      <c r="P13" s="343"/>
      <c r="Q13" s="341"/>
      <c r="R13" s="342"/>
    </row>
    <row r="14" spans="1:81" ht="13.95" hidden="1" customHeight="1" x14ac:dyDescent="0.7">
      <c r="A14" s="339"/>
      <c r="B14" s="220" t="s">
        <v>1479</v>
      </c>
      <c r="C14" s="344"/>
      <c r="D14" s="345"/>
      <c r="E14" s="346"/>
      <c r="F14" s="344"/>
      <c r="G14" s="349"/>
      <c r="H14" s="344"/>
      <c r="I14" s="344"/>
      <c r="J14" s="344"/>
      <c r="K14" s="342"/>
      <c r="L14" s="352"/>
      <c r="M14" s="350"/>
      <c r="N14" s="351"/>
      <c r="O14" s="342"/>
      <c r="P14" s="343"/>
      <c r="Q14" s="341"/>
      <c r="R14" s="342"/>
    </row>
    <row r="15" spans="1:81" ht="56.55" customHeight="1" x14ac:dyDescent="0.7">
      <c r="A15" s="187" t="s">
        <v>1480</v>
      </c>
      <c r="B15" s="220" t="s">
        <v>1481</v>
      </c>
      <c r="C15" s="228">
        <f>'DevCoAssessmentInput(CE&amp;O)'!$C$13/'DevCoAssessmentInput(CE&amp;O)'!$C$15</f>
        <v>2.5</v>
      </c>
      <c r="D15" s="226" t="str">
        <f>_xlfn.IFS($C$15&lt;0.1,"Good",$C$15&lt;=0.2,"Satisfactory",$C$15&gt;0.2,"Needs Improvement")</f>
        <v>Needs Improvement</v>
      </c>
      <c r="E15" s="227">
        <f>_xlfn.IFS($D$15="Good", 3, $D$15="Satisfactory", 2, $D$15="Needs Improvement", 1)</f>
        <v>1</v>
      </c>
      <c r="F15" s="228">
        <v>0.6</v>
      </c>
      <c r="G15" s="218" t="s">
        <v>1482</v>
      </c>
      <c r="H15" s="228" t="s">
        <v>1024</v>
      </c>
      <c r="I15" s="228" t="s">
        <v>1483</v>
      </c>
      <c r="J15" s="228" t="s">
        <v>1484</v>
      </c>
      <c r="K15" s="229"/>
      <c r="L15" s="352"/>
      <c r="M15" s="350"/>
      <c r="N15" s="351"/>
      <c r="O15" s="342"/>
      <c r="P15" s="343"/>
      <c r="Q15" s="341"/>
      <c r="R15" s="342"/>
    </row>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sheetData>
  <sheetProtection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237" priority="157" stopIfTrue="1" operator="equal">
      <formula>0</formula>
    </cfRule>
    <cfRule type="cellIs" dxfId="236" priority="158" stopIfTrue="1" operator="lessThan">
      <formula>1.5</formula>
    </cfRule>
    <cfRule type="cellIs" dxfId="235" priority="159" stopIfTrue="1" operator="lessThan">
      <formula>2.5</formula>
    </cfRule>
    <cfRule type="cellIs" dxfId="234" priority="160" stopIfTrue="1" operator="greaterThanOrEqual">
      <formula>2.5</formula>
    </cfRule>
  </conditionalFormatting>
  <conditionalFormatting sqref="E6:E15">
    <cfRule type="cellIs" dxfId="233" priority="161" stopIfTrue="1" operator="equal">
      <formula>0</formula>
    </cfRule>
    <cfRule type="cellIs" dxfId="232" priority="162" stopIfTrue="1" operator="lessThan">
      <formula>1.5</formula>
    </cfRule>
    <cfRule type="cellIs" dxfId="231" priority="163" stopIfTrue="1" operator="lessThan">
      <formula>2.5</formula>
    </cfRule>
    <cfRule type="cellIs" dxfId="230" priority="164" stopIfTrue="1" operator="greaterThanOrEqual">
      <formula>2.5</formula>
    </cfRule>
  </conditionalFormatting>
  <conditionalFormatting sqref="M6:M15">
    <cfRule type="cellIs" dxfId="229" priority="165" stopIfTrue="1" operator="equal">
      <formula>0</formula>
    </cfRule>
    <cfRule type="cellIs" dxfId="228" priority="166" stopIfTrue="1" operator="lessThan">
      <formula>1.5</formula>
    </cfRule>
    <cfRule type="cellIs" dxfId="227" priority="167" stopIfTrue="1" operator="lessThan">
      <formula>2.5</formula>
    </cfRule>
    <cfRule type="cellIs" dxfId="226" priority="168" stopIfTrue="1" operator="greaterThanOrEqual">
      <formula>2.5</formula>
    </cfRule>
  </conditionalFormatting>
  <conditionalFormatting sqref="Q6:Q15">
    <cfRule type="cellIs" dxfId="225" priority="169" stopIfTrue="1" operator="equal">
      <formula>0</formula>
    </cfRule>
    <cfRule type="cellIs" dxfId="224" priority="170" stopIfTrue="1" operator="lessThan">
      <formula>1.5</formula>
    </cfRule>
    <cfRule type="cellIs" dxfId="223" priority="171" stopIfTrue="1" operator="lessThan">
      <formula>2.5</formula>
    </cfRule>
    <cfRule type="cellIs" dxfId="222"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8" sqref="D8"/>
    </sheetView>
  </sheetViews>
  <sheetFormatPr defaultColWidth="8.69140625" defaultRowHeight="21" x14ac:dyDescent="0.7"/>
  <cols>
    <col min="1" max="1" width="5.69140625" style="41" customWidth="1"/>
    <col min="2" max="2" width="33.69140625" style="82" customWidth="1"/>
    <col min="3" max="3" width="9.69140625" style="84"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88" t="s">
        <v>800</v>
      </c>
      <c r="E5" s="88" t="s">
        <v>801</v>
      </c>
      <c r="F5" s="88" t="s">
        <v>802</v>
      </c>
    </row>
    <row r="6" spans="1:81" ht="41.55" customHeight="1" x14ac:dyDescent="0.7">
      <c r="A6" s="122">
        <f t="shared" ref="A6:A11" si="0">ROW()-5</f>
        <v>1</v>
      </c>
      <c r="B6" s="76" t="s">
        <v>1496</v>
      </c>
      <c r="C6" s="114">
        <v>45786.670185185183</v>
      </c>
      <c r="D6" s="76"/>
      <c r="E6" s="76"/>
      <c r="F6" s="75"/>
    </row>
    <row r="7" spans="1:81" ht="41.55" customHeight="1" x14ac:dyDescent="0.7">
      <c r="A7" s="122">
        <f t="shared" si="0"/>
        <v>2</v>
      </c>
      <c r="B7" s="76" t="s">
        <v>1497</v>
      </c>
      <c r="C7" s="114">
        <v>45786.670185185183</v>
      </c>
      <c r="D7" s="76"/>
      <c r="E7" s="76"/>
      <c r="F7" s="75"/>
    </row>
    <row r="8" spans="1:81" ht="94.2" customHeight="1" x14ac:dyDescent="0.7">
      <c r="A8" s="122">
        <f t="shared" si="0"/>
        <v>3</v>
      </c>
      <c r="B8" s="76" t="s">
        <v>1498</v>
      </c>
      <c r="C8" s="114">
        <v>45786.670185185183</v>
      </c>
      <c r="D8" s="76"/>
      <c r="E8" s="76"/>
      <c r="F8" s="75"/>
    </row>
    <row r="9" spans="1:81" ht="41.55" customHeight="1" x14ac:dyDescent="0.7">
      <c r="A9" s="122">
        <f t="shared" si="0"/>
        <v>4</v>
      </c>
      <c r="B9" s="76" t="s">
        <v>1499</v>
      </c>
      <c r="C9" s="114">
        <v>45786.670185185183</v>
      </c>
      <c r="D9" s="76"/>
      <c r="E9" s="76"/>
      <c r="F9" s="75"/>
    </row>
    <row r="10" spans="1:81" ht="41.55" customHeight="1" x14ac:dyDescent="0.7">
      <c r="A10" s="122">
        <f t="shared" si="0"/>
        <v>5</v>
      </c>
      <c r="B10" s="76" t="s">
        <v>1500</v>
      </c>
      <c r="C10" s="114">
        <v>45786.670185185183</v>
      </c>
      <c r="D10" s="76"/>
      <c r="E10" s="76"/>
      <c r="F10" s="75"/>
    </row>
    <row r="11" spans="1:81" ht="54.6" customHeight="1" x14ac:dyDescent="0.7">
      <c r="A11" s="120">
        <f t="shared" si="0"/>
        <v>6</v>
      </c>
      <c r="B11" s="76" t="s">
        <v>1501</v>
      </c>
      <c r="C11" s="114">
        <v>45786.670185185183</v>
      </c>
      <c r="D11" s="76"/>
      <c r="E11" s="76"/>
      <c r="F11"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vq3uz/6jB/ZmbONH1l21Bb8R+NsEEF3dt1XJZ8bBLv3ce9bzrmdxS+DMTXjZ6nNpTa2Rn1yJhnrEQVK19xPDg==" saltValue="tIE7BNonLonZCBOTOWoG7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D22"/>
    </sheetView>
  </sheetViews>
  <sheetFormatPr defaultColWidth="8.69140625" defaultRowHeight="40.049999999999997" customHeight="1" x14ac:dyDescent="0.7"/>
  <cols>
    <col min="1" max="1" width="5.61328125" style="41" customWidth="1"/>
    <col min="2" max="2" width="7.15234375" style="77" hidden="1" customWidth="1"/>
    <col min="3" max="3" width="66.61328125" style="82" customWidth="1"/>
    <col min="4" max="4" width="10.61328125" style="83" customWidth="1"/>
    <col min="5" max="5" width="9.61328125" style="82" hidden="1" customWidth="1"/>
    <col min="6" max="6" width="5.61328125" style="77" customWidth="1"/>
    <col min="7" max="7" width="8.69140625" style="77"/>
    <col min="8" max="10" width="16.69140625" style="77" customWidth="1"/>
    <col min="11" max="81" width="8.69140625" style="77"/>
    <col min="82" max="16384" width="8.69140625" style="41"/>
  </cols>
  <sheetData>
    <row r="1" spans="1:10" s="12" customFormat="1" ht="21" customHeight="1" x14ac:dyDescent="0.7">
      <c r="C1" s="20"/>
      <c r="D1" s="18"/>
      <c r="E1" s="20"/>
    </row>
    <row r="2" spans="1:10" s="12" customFormat="1" ht="21" customHeight="1" x14ac:dyDescent="0.7">
      <c r="A2" s="7" t="s">
        <v>4</v>
      </c>
      <c r="B2" s="7"/>
      <c r="C2" s="42"/>
      <c r="D2" s="24"/>
      <c r="E2" s="42"/>
    </row>
    <row r="3" spans="1:10" s="12" customFormat="1" ht="21" customHeight="1" x14ac:dyDescent="0.7">
      <c r="A3" s="93" t="str" cm="1">
        <f t="array" aca="1" ref="A3" ca="1">MID(CELL("filename",A1),FIND("]",CELL("filename",A1))+1,256)</f>
        <v>AddDataPoint(CE&amp;O)</v>
      </c>
      <c r="B3" s="8"/>
      <c r="C3" s="42"/>
      <c r="D3" s="24"/>
      <c r="E3" s="42"/>
      <c r="G3" s="12" t="s">
        <v>1502</v>
      </c>
    </row>
    <row r="4" spans="1:10" s="12" customFormat="1" ht="4.95" customHeight="1" x14ac:dyDescent="0.7">
      <c r="A4" s="10"/>
      <c r="B4" s="10"/>
      <c r="C4" s="42"/>
      <c r="D4" s="24"/>
      <c r="E4" s="42"/>
      <c r="G4" s="18"/>
    </row>
    <row r="5" spans="1:10" s="85" customFormat="1" ht="43.2" customHeight="1" x14ac:dyDescent="0.7">
      <c r="A5" s="71" t="s">
        <v>5</v>
      </c>
      <c r="B5" s="196" t="s">
        <v>813</v>
      </c>
      <c r="C5" s="71" t="s">
        <v>814</v>
      </c>
      <c r="D5" s="71" t="s">
        <v>760</v>
      </c>
      <c r="E5" s="73" t="s">
        <v>815</v>
      </c>
      <c r="G5" s="308" t="s">
        <v>816</v>
      </c>
      <c r="H5" s="309" t="s">
        <v>1503</v>
      </c>
      <c r="I5" s="309" t="s">
        <v>1504</v>
      </c>
      <c r="J5" s="309" t="s">
        <v>1505</v>
      </c>
    </row>
    <row r="6" spans="1:10" ht="36.450000000000003" customHeight="1" x14ac:dyDescent="0.7">
      <c r="A6" s="163">
        <f>IF($C6="","",SUBTOTAL(3,$C$6:$C6)*1)</f>
        <v>1</v>
      </c>
      <c r="B6" s="256"/>
      <c r="C6" s="238" t="s">
        <v>1506</v>
      </c>
      <c r="D6" s="164">
        <v>3200000000</v>
      </c>
      <c r="E6" s="239" t="s">
        <v>905</v>
      </c>
      <c r="G6" s="310">
        <v>2023</v>
      </c>
      <c r="H6" s="311">
        <v>400</v>
      </c>
      <c r="I6" s="311">
        <v>400</v>
      </c>
      <c r="J6" s="311">
        <v>400</v>
      </c>
    </row>
    <row r="7" spans="1:10" ht="36.450000000000003" customHeight="1" x14ac:dyDescent="0.7">
      <c r="A7" s="163">
        <f>IF($C7="","",SUBTOTAL(3,$C$6:$C7)*1)</f>
        <v>2</v>
      </c>
      <c r="B7" s="256"/>
      <c r="C7" s="238" t="s">
        <v>1507</v>
      </c>
      <c r="D7" s="164">
        <v>100000000</v>
      </c>
      <c r="E7" s="239" t="s">
        <v>905</v>
      </c>
      <c r="G7" s="310">
        <v>2024</v>
      </c>
      <c r="H7" s="311">
        <v>1000</v>
      </c>
      <c r="I7" s="311">
        <v>1200</v>
      </c>
      <c r="J7" s="311">
        <v>1200</v>
      </c>
    </row>
    <row r="8" spans="1:10" ht="36.450000000000003" customHeight="1" x14ac:dyDescent="0.7">
      <c r="A8" s="163">
        <f>IF($C8="","",SUBTOTAL(3,$C$6:$C8)*1)</f>
        <v>3</v>
      </c>
      <c r="B8" s="256"/>
      <c r="C8" s="238" t="s">
        <v>1508</v>
      </c>
      <c r="D8" s="164">
        <v>20000000</v>
      </c>
      <c r="E8" s="239" t="s">
        <v>854</v>
      </c>
      <c r="G8" s="310">
        <v>2025</v>
      </c>
      <c r="H8" s="311">
        <v>1500</v>
      </c>
      <c r="I8" s="311">
        <v>1800</v>
      </c>
      <c r="J8" s="311">
        <v>1800</v>
      </c>
    </row>
    <row r="9" spans="1:10" ht="36.450000000000003" customHeight="1" x14ac:dyDescent="0.7">
      <c r="A9" s="163">
        <f>IF($C9="","",SUBTOTAL(3,$C$6:$C9)*1)</f>
        <v>4</v>
      </c>
      <c r="B9" s="256"/>
      <c r="C9" s="238" t="s">
        <v>1509</v>
      </c>
      <c r="D9" s="164">
        <v>7500000</v>
      </c>
      <c r="E9" s="239" t="s">
        <v>854</v>
      </c>
      <c r="G9" s="310">
        <v>2026</v>
      </c>
      <c r="H9" s="311">
        <v>2000</v>
      </c>
      <c r="I9" s="311">
        <v>2200</v>
      </c>
      <c r="J9" s="311">
        <v>2300</v>
      </c>
    </row>
    <row r="10" spans="1:10" ht="36.450000000000003" customHeight="1" x14ac:dyDescent="0.7">
      <c r="A10" s="163">
        <f>IF($C10="","",SUBTOTAL(3,$C$6:$C10)*1)</f>
        <v>5</v>
      </c>
      <c r="B10" s="256"/>
      <c r="C10" s="238" t="s">
        <v>1510</v>
      </c>
      <c r="D10" s="164"/>
      <c r="E10" s="239"/>
      <c r="G10" s="310">
        <v>2027</v>
      </c>
      <c r="H10" s="311">
        <v>2500</v>
      </c>
      <c r="I10" s="311">
        <v>2750</v>
      </c>
      <c r="J10" s="311">
        <v>2900</v>
      </c>
    </row>
    <row r="11" spans="1:10" ht="36.450000000000003" customHeight="1" x14ac:dyDescent="0.7">
      <c r="A11" s="163">
        <f>IF($C11="","",SUBTOTAL(3,$C$6:$C11)*1)</f>
        <v>6</v>
      </c>
      <c r="B11" s="256"/>
      <c r="C11" s="238" t="s">
        <v>1511</v>
      </c>
      <c r="D11" s="164">
        <v>200000</v>
      </c>
      <c r="E11" s="239" t="s">
        <v>905</v>
      </c>
      <c r="G11" s="310">
        <v>2028</v>
      </c>
      <c r="H11" s="311">
        <v>2800</v>
      </c>
      <c r="I11" s="311">
        <v>3100</v>
      </c>
      <c r="J11" s="311">
        <v>3200</v>
      </c>
    </row>
    <row r="12" spans="1:10" ht="36.450000000000003" customHeight="1" x14ac:dyDescent="0.7">
      <c r="A12" s="163">
        <f>IF($C12="","",SUBTOTAL(3,$C$6:$C12)*1)</f>
        <v>7</v>
      </c>
      <c r="B12" s="256"/>
      <c r="C12" s="238" t="s">
        <v>1512</v>
      </c>
      <c r="D12" s="164">
        <v>5000000</v>
      </c>
      <c r="E12" s="239" t="s">
        <v>905</v>
      </c>
    </row>
    <row r="13" spans="1:10" ht="36.450000000000003" customHeight="1" x14ac:dyDescent="0.7">
      <c r="A13" s="163">
        <f>IF($C13="","",SUBTOTAL(3,$C$6:$C13)*1)</f>
        <v>8</v>
      </c>
      <c r="B13" s="256"/>
      <c r="C13" s="238" t="s">
        <v>1513</v>
      </c>
      <c r="D13" s="164">
        <v>0</v>
      </c>
      <c r="E13" s="239" t="s">
        <v>839</v>
      </c>
    </row>
    <row r="14" spans="1:10" ht="36.450000000000003" customHeight="1" x14ac:dyDescent="0.7">
      <c r="A14" s="163">
        <f>IF($C14="","",SUBTOTAL(3,$C$6:$C14)*1)</f>
        <v>9</v>
      </c>
      <c r="B14" s="256"/>
      <c r="C14" s="238" t="s">
        <v>1514</v>
      </c>
      <c r="D14" s="164">
        <v>3</v>
      </c>
      <c r="E14" s="239" t="s">
        <v>839</v>
      </c>
    </row>
    <row r="15" spans="1:10" ht="36.450000000000003" customHeight="1" x14ac:dyDescent="0.7">
      <c r="A15" s="163">
        <f>IF($C15="","",SUBTOTAL(3,$C$6:$C15)*1)</f>
        <v>10</v>
      </c>
      <c r="B15" s="256"/>
      <c r="C15" s="238" t="s">
        <v>1515</v>
      </c>
      <c r="D15" s="164">
        <v>2</v>
      </c>
      <c r="E15" s="239" t="s">
        <v>839</v>
      </c>
    </row>
    <row r="16" spans="1:10" ht="36.450000000000003" customHeight="1" x14ac:dyDescent="0.7">
      <c r="A16" s="163">
        <f>IF($C16="","",SUBTOTAL(3,$C$6:$C16)*1)</f>
        <v>11</v>
      </c>
      <c r="B16" s="256"/>
      <c r="C16" s="238" t="s">
        <v>1516</v>
      </c>
      <c r="D16" s="164">
        <v>6</v>
      </c>
      <c r="E16" s="239" t="s">
        <v>839</v>
      </c>
    </row>
    <row r="17" spans="1:5" ht="36.450000000000003" customHeight="1" x14ac:dyDescent="0.7">
      <c r="A17" s="163">
        <f>IF($C17="","",SUBTOTAL(3,$C$6:$C17)*1)</f>
        <v>12</v>
      </c>
      <c r="B17" s="256"/>
      <c r="C17" s="238" t="s">
        <v>1517</v>
      </c>
      <c r="D17" s="164">
        <v>8</v>
      </c>
      <c r="E17" s="239" t="s">
        <v>839</v>
      </c>
    </row>
    <row r="18" spans="1:5" ht="36.450000000000003" customHeight="1" x14ac:dyDescent="0.7">
      <c r="A18" s="163">
        <f>IF($C18="","",SUBTOTAL(3,$C$6:$C18)*1)</f>
        <v>13</v>
      </c>
      <c r="B18" s="256"/>
      <c r="C18" s="238" t="s">
        <v>1518</v>
      </c>
      <c r="D18" s="164">
        <v>15000000</v>
      </c>
      <c r="E18" s="239" t="s">
        <v>854</v>
      </c>
    </row>
    <row r="19" spans="1:5" ht="36.450000000000003" customHeight="1" x14ac:dyDescent="0.7">
      <c r="A19" s="163">
        <f>IF($C19="","",SUBTOTAL(3,$C$6:$C19)*1)</f>
        <v>14</v>
      </c>
      <c r="B19" s="256"/>
      <c r="C19" s="238" t="s">
        <v>1519</v>
      </c>
      <c r="D19" s="164">
        <v>5200000</v>
      </c>
      <c r="E19" s="239" t="s">
        <v>905</v>
      </c>
    </row>
    <row r="20" spans="1:5" ht="36.450000000000003" customHeight="1" x14ac:dyDescent="0.7">
      <c r="A20" s="163">
        <f>IF($C20="","",SUBTOTAL(3,$C$6:$C20)*1)</f>
        <v>15</v>
      </c>
      <c r="B20" s="256"/>
      <c r="C20" s="238" t="s">
        <v>1520</v>
      </c>
      <c r="D20" s="164">
        <v>300000000</v>
      </c>
      <c r="E20" s="239" t="s">
        <v>905</v>
      </c>
    </row>
    <row r="21" spans="1:5" ht="36.450000000000003" customHeight="1" x14ac:dyDescent="0.7">
      <c r="A21" s="163">
        <f>IF($C21="","",SUBTOTAL(3,$C$6:$C21)*1)</f>
        <v>16</v>
      </c>
      <c r="B21" s="256"/>
      <c r="C21" s="238" t="s">
        <v>1521</v>
      </c>
      <c r="D21" s="164">
        <v>0</v>
      </c>
      <c r="E21" s="239" t="s">
        <v>905</v>
      </c>
    </row>
    <row r="22" spans="1:5" ht="36.450000000000003" customHeight="1" x14ac:dyDescent="0.7">
      <c r="A22" s="163">
        <f>IF($C22="","",SUBTOTAL(3,$C$6:$C22)*1)</f>
        <v>17</v>
      </c>
      <c r="B22" s="256"/>
      <c r="C22" s="238" t="s">
        <v>1522</v>
      </c>
      <c r="D22" s="164">
        <v>1</v>
      </c>
      <c r="E22" s="239" t="s">
        <v>905</v>
      </c>
    </row>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Jx2lXeq7BOCb8Ra2GUsH2WVxZDOtAGWalRrHXoV5Le4cC0RSGcWz2YCF/jQOh7Nmm/7OlAsKcMaQBn804iRobg==" saltValue="W1WQsC0dg9Sid5gJVWAcBQ=="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55" zoomScaleNormal="55" workbookViewId="0">
      <pane xSplit="2" ySplit="5" topLeftCell="C6" activePane="bottomRight" state="frozen"/>
      <selection pane="topRight" activeCell="D23" sqref="D23"/>
      <selection pane="bottomLeft" activeCell="D23" sqref="D23"/>
      <selection pane="bottomRight" activeCell="E49" sqref="E49"/>
    </sheetView>
  </sheetViews>
  <sheetFormatPr defaultColWidth="9.15234375" defaultRowHeight="20.399999999999999" x14ac:dyDescent="0.7"/>
  <cols>
    <col min="1" max="1" width="33.61328125" style="13" customWidth="1"/>
    <col min="2" max="2" width="33.61328125" style="61" customWidth="1"/>
    <col min="3" max="3" width="20.61328125" style="60" customWidth="1"/>
    <col min="4" max="4" width="12.61328125" style="142" customWidth="1"/>
    <col min="5" max="5" width="30.61328125" style="61" customWidth="1"/>
    <col min="6" max="6" width="12.61328125" style="142" customWidth="1"/>
    <col min="7" max="7" width="30.61328125" style="61" customWidth="1"/>
    <col min="8" max="8" width="12.61328125" style="142" customWidth="1"/>
    <col min="9" max="9" width="171.4609375" style="216"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33" t="s">
        <v>699</v>
      </c>
    </row>
    <row r="6" spans="1:81" ht="100.95" customHeight="1" x14ac:dyDescent="0.7">
      <c r="A6" s="356" t="s">
        <v>1523</v>
      </c>
      <c r="B6" s="218" t="s">
        <v>1524</v>
      </c>
      <c r="C6" s="161" t="s">
        <v>724</v>
      </c>
      <c r="D6" s="141"/>
      <c r="E6" s="62"/>
      <c r="F6" s="222"/>
      <c r="G6" s="62"/>
      <c r="H6" s="222"/>
      <c r="I6" s="337" t="s">
        <v>1525</v>
      </c>
    </row>
    <row r="7" spans="1:81" ht="58.2" customHeight="1" x14ac:dyDescent="0.7">
      <c r="A7" s="359"/>
      <c r="B7" s="218" t="s">
        <v>1526</v>
      </c>
      <c r="C7" s="161" t="s">
        <v>724</v>
      </c>
      <c r="D7" s="141"/>
      <c r="E7" s="62"/>
      <c r="F7" s="222"/>
      <c r="G7" s="62"/>
      <c r="H7" s="222"/>
      <c r="I7" s="337"/>
    </row>
    <row r="8" spans="1:81" ht="36.450000000000003" customHeight="1" x14ac:dyDescent="0.7">
      <c r="A8" s="359"/>
      <c r="B8" s="218" t="s">
        <v>1527</v>
      </c>
      <c r="C8" s="161" t="s">
        <v>724</v>
      </c>
      <c r="D8" s="141"/>
      <c r="E8" s="62"/>
      <c r="F8" s="222"/>
      <c r="G8" s="62"/>
      <c r="H8" s="222"/>
      <c r="I8" s="337"/>
    </row>
    <row r="9" spans="1:81" ht="58.2" customHeight="1" x14ac:dyDescent="0.7">
      <c r="A9" s="359"/>
      <c r="B9" s="218" t="s">
        <v>1528</v>
      </c>
      <c r="C9" s="161" t="s">
        <v>739</v>
      </c>
      <c r="D9" s="141"/>
      <c r="E9" s="62"/>
      <c r="F9" s="222"/>
      <c r="G9" s="62"/>
      <c r="H9" s="222"/>
      <c r="I9" s="337"/>
    </row>
    <row r="10" spans="1:81" ht="36.450000000000003" customHeight="1" x14ac:dyDescent="0.7">
      <c r="A10" s="359"/>
      <c r="B10" s="218" t="s">
        <v>1529</v>
      </c>
      <c r="C10" s="161" t="s">
        <v>739</v>
      </c>
      <c r="D10" s="141"/>
      <c r="E10" s="62"/>
      <c r="F10" s="222"/>
      <c r="G10" s="62"/>
      <c r="H10" s="222"/>
      <c r="I10" s="337"/>
    </row>
    <row r="11" spans="1:81" ht="58.2" customHeight="1" x14ac:dyDescent="0.7">
      <c r="A11" s="359"/>
      <c r="B11" s="218" t="s">
        <v>1530</v>
      </c>
      <c r="C11" s="161" t="s">
        <v>739</v>
      </c>
      <c r="D11" s="141"/>
      <c r="E11" s="62"/>
      <c r="F11" s="222"/>
      <c r="G11" s="62"/>
      <c r="H11" s="222"/>
      <c r="I11" s="337"/>
    </row>
    <row r="12" spans="1:81" ht="36.450000000000003" customHeight="1" x14ac:dyDescent="0.7">
      <c r="A12" s="359"/>
      <c r="B12" s="218" t="s">
        <v>1531</v>
      </c>
      <c r="C12" s="161" t="s">
        <v>739</v>
      </c>
      <c r="D12" s="141"/>
      <c r="E12" s="62"/>
      <c r="F12" s="222"/>
      <c r="G12" s="62"/>
      <c r="H12" s="222"/>
      <c r="I12" s="337"/>
    </row>
    <row r="13" spans="1:81" ht="36.450000000000003" customHeight="1" x14ac:dyDescent="0.7">
      <c r="A13" s="357"/>
      <c r="B13" s="218" t="s">
        <v>1532</v>
      </c>
      <c r="C13" s="161" t="s">
        <v>739</v>
      </c>
      <c r="D13" s="141"/>
      <c r="E13" s="62"/>
      <c r="F13" s="222"/>
      <c r="G13" s="62"/>
      <c r="H13" s="222"/>
      <c r="I13" s="337"/>
    </row>
    <row r="14" spans="1:81" ht="79.5" customHeight="1" x14ac:dyDescent="0.7">
      <c r="A14" s="356" t="s">
        <v>1533</v>
      </c>
      <c r="B14" s="218" t="s">
        <v>1534</v>
      </c>
      <c r="C14" s="161" t="s">
        <v>724</v>
      </c>
      <c r="D14" s="141"/>
      <c r="E14" s="62"/>
      <c r="F14" s="222"/>
      <c r="G14" s="62"/>
      <c r="H14" s="222"/>
      <c r="I14" s="337" t="s">
        <v>1535</v>
      </c>
    </row>
    <row r="15" spans="1:81" ht="58.2" customHeight="1" x14ac:dyDescent="0.7">
      <c r="A15" s="359"/>
      <c r="B15" s="218" t="s">
        <v>1536</v>
      </c>
      <c r="C15" s="161" t="s">
        <v>724</v>
      </c>
      <c r="D15" s="141"/>
      <c r="E15" s="62"/>
      <c r="F15" s="222"/>
      <c r="G15" s="62"/>
      <c r="H15" s="222"/>
      <c r="I15" s="337"/>
    </row>
    <row r="16" spans="1:81" ht="36.450000000000003" customHeight="1" x14ac:dyDescent="0.7">
      <c r="A16" s="359"/>
      <c r="B16" s="218" t="s">
        <v>1537</v>
      </c>
      <c r="C16" s="161" t="s">
        <v>724</v>
      </c>
      <c r="D16" s="141"/>
      <c r="E16" s="62"/>
      <c r="F16" s="222"/>
      <c r="G16" s="62"/>
      <c r="H16" s="222"/>
      <c r="I16" s="337"/>
    </row>
    <row r="17" spans="1:9" ht="58.2" customHeight="1" x14ac:dyDescent="0.7">
      <c r="A17" s="359"/>
      <c r="B17" s="218" t="s">
        <v>1538</v>
      </c>
      <c r="C17" s="161" t="s">
        <v>739</v>
      </c>
      <c r="D17" s="141"/>
      <c r="E17" s="62"/>
      <c r="F17" s="222"/>
      <c r="G17" s="62"/>
      <c r="H17" s="222"/>
      <c r="I17" s="337"/>
    </row>
    <row r="18" spans="1:9" ht="36.450000000000003" customHeight="1" x14ac:dyDescent="0.7">
      <c r="A18" s="359"/>
      <c r="B18" s="218" t="s">
        <v>1539</v>
      </c>
      <c r="C18" s="161" t="s">
        <v>739</v>
      </c>
      <c r="D18" s="141"/>
      <c r="E18" s="62"/>
      <c r="F18" s="222"/>
      <c r="G18" s="62"/>
      <c r="H18" s="222"/>
      <c r="I18" s="337"/>
    </row>
    <row r="19" spans="1:9" ht="36.450000000000003" customHeight="1" x14ac:dyDescent="0.7">
      <c r="A19" s="359"/>
      <c r="B19" s="218" t="s">
        <v>1540</v>
      </c>
      <c r="C19" s="161" t="s">
        <v>739</v>
      </c>
      <c r="D19" s="141"/>
      <c r="E19" s="62"/>
      <c r="F19" s="222"/>
      <c r="G19" s="62"/>
      <c r="H19" s="222"/>
      <c r="I19" s="337"/>
    </row>
    <row r="20" spans="1:9" ht="58.2" customHeight="1" x14ac:dyDescent="0.7">
      <c r="A20" s="359"/>
      <c r="B20" s="218" t="s">
        <v>1541</v>
      </c>
      <c r="C20" s="161" t="s">
        <v>739</v>
      </c>
      <c r="D20" s="141"/>
      <c r="E20" s="62"/>
      <c r="F20" s="222"/>
      <c r="G20" s="62"/>
      <c r="H20" s="222"/>
      <c r="I20" s="337"/>
    </row>
    <row r="21" spans="1:9" ht="36.450000000000003" customHeight="1" x14ac:dyDescent="0.7">
      <c r="A21" s="357"/>
      <c r="B21" s="218" t="s">
        <v>1532</v>
      </c>
      <c r="C21" s="161" t="s">
        <v>739</v>
      </c>
      <c r="D21" s="141"/>
      <c r="E21" s="62"/>
      <c r="F21" s="222"/>
      <c r="G21" s="62"/>
      <c r="H21" s="222"/>
      <c r="I21" s="337"/>
    </row>
    <row r="22" spans="1:9" ht="100.95" customHeight="1" x14ac:dyDescent="0.7">
      <c r="A22" s="356" t="s">
        <v>1542</v>
      </c>
      <c r="B22" s="218" t="s">
        <v>1543</v>
      </c>
      <c r="C22" s="161" t="s">
        <v>724</v>
      </c>
      <c r="D22" s="141"/>
      <c r="E22" s="62"/>
      <c r="F22" s="222"/>
      <c r="G22" s="62"/>
      <c r="H22" s="222"/>
      <c r="I22" s="337" t="s">
        <v>1544</v>
      </c>
    </row>
    <row r="23" spans="1:9" ht="58.2" customHeight="1" x14ac:dyDescent="0.7">
      <c r="A23" s="359"/>
      <c r="B23" s="218" t="s">
        <v>1545</v>
      </c>
      <c r="C23" s="161" t="s">
        <v>724</v>
      </c>
      <c r="D23" s="141"/>
      <c r="E23" s="62"/>
      <c r="F23" s="222"/>
      <c r="G23" s="62"/>
      <c r="H23" s="222"/>
      <c r="I23" s="337"/>
    </row>
    <row r="24" spans="1:9" ht="36.450000000000003" customHeight="1" x14ac:dyDescent="0.7">
      <c r="A24" s="359"/>
      <c r="B24" s="218" t="s">
        <v>1546</v>
      </c>
      <c r="C24" s="161" t="s">
        <v>739</v>
      </c>
      <c r="D24" s="141"/>
      <c r="E24" s="62"/>
      <c r="F24" s="222"/>
      <c r="G24" s="62"/>
      <c r="H24" s="222"/>
      <c r="I24" s="337"/>
    </row>
    <row r="25" spans="1:9" ht="36.450000000000003" customHeight="1" x14ac:dyDescent="0.7">
      <c r="A25" s="357"/>
      <c r="B25" s="218" t="s">
        <v>1547</v>
      </c>
      <c r="C25" s="161" t="s">
        <v>739</v>
      </c>
      <c r="D25" s="141"/>
      <c r="E25" s="62"/>
      <c r="F25" s="222"/>
      <c r="G25" s="62"/>
      <c r="H25" s="222"/>
      <c r="I25" s="337"/>
    </row>
    <row r="26" spans="1:9" ht="79.5" customHeight="1" x14ac:dyDescent="0.7">
      <c r="A26" s="356" t="s">
        <v>1548</v>
      </c>
      <c r="B26" s="218" t="s">
        <v>1549</v>
      </c>
      <c r="C26" s="161" t="s">
        <v>724</v>
      </c>
      <c r="D26" s="141"/>
      <c r="E26" s="62"/>
      <c r="F26" s="222"/>
      <c r="G26" s="62"/>
      <c r="H26" s="222"/>
      <c r="I26" s="337" t="s">
        <v>1550</v>
      </c>
    </row>
    <row r="27" spans="1:9" ht="79.5" customHeight="1" x14ac:dyDescent="0.7">
      <c r="A27" s="357"/>
      <c r="B27" s="218" t="s">
        <v>1551</v>
      </c>
      <c r="C27" s="161" t="s">
        <v>724</v>
      </c>
      <c r="D27" s="141"/>
      <c r="E27" s="62"/>
      <c r="F27" s="222"/>
      <c r="G27" s="62"/>
      <c r="H27" s="222"/>
      <c r="I27" s="337"/>
    </row>
    <row r="28" spans="1:9" ht="58.2" customHeight="1" x14ac:dyDescent="0.7">
      <c r="A28" s="356" t="s">
        <v>1552</v>
      </c>
      <c r="B28" s="218" t="s">
        <v>1553</v>
      </c>
      <c r="C28" s="161" t="s">
        <v>724</v>
      </c>
      <c r="D28" s="141"/>
      <c r="E28" s="62"/>
      <c r="F28" s="222"/>
      <c r="G28" s="62"/>
      <c r="H28" s="222"/>
      <c r="I28" s="337" t="s">
        <v>1554</v>
      </c>
    </row>
    <row r="29" spans="1:9" ht="36.450000000000003" customHeight="1" x14ac:dyDescent="0.7">
      <c r="A29" s="359"/>
      <c r="B29" s="218" t="s">
        <v>1555</v>
      </c>
      <c r="C29" s="161" t="s">
        <v>724</v>
      </c>
      <c r="D29" s="141"/>
      <c r="E29" s="62"/>
      <c r="F29" s="222"/>
      <c r="G29" s="62"/>
      <c r="H29" s="222"/>
      <c r="I29" s="337"/>
    </row>
    <row r="30" spans="1:9" ht="36.450000000000003" customHeight="1" x14ac:dyDescent="0.7">
      <c r="A30" s="359"/>
      <c r="B30" s="218" t="s">
        <v>1556</v>
      </c>
      <c r="C30" s="161" t="s">
        <v>739</v>
      </c>
      <c r="D30" s="141"/>
      <c r="E30" s="62"/>
      <c r="F30" s="222"/>
      <c r="G30" s="62"/>
      <c r="H30" s="222"/>
      <c r="I30" s="337"/>
    </row>
    <row r="31" spans="1:9" ht="58.2" customHeight="1" x14ac:dyDescent="0.7">
      <c r="A31" s="357"/>
      <c r="B31" s="218" t="s">
        <v>1557</v>
      </c>
      <c r="C31" s="161" t="s">
        <v>739</v>
      </c>
      <c r="D31" s="141"/>
      <c r="E31" s="62"/>
      <c r="F31" s="222"/>
      <c r="G31" s="62"/>
      <c r="H31" s="222"/>
      <c r="I31" s="337"/>
    </row>
    <row r="32" spans="1:9" ht="58.2" customHeight="1" x14ac:dyDescent="0.7">
      <c r="A32" s="356" t="s">
        <v>1558</v>
      </c>
      <c r="B32" s="218" t="s">
        <v>1559</v>
      </c>
      <c r="C32" s="161">
        <v>20</v>
      </c>
      <c r="D32" s="141"/>
      <c r="E32" s="62"/>
      <c r="F32" s="222"/>
      <c r="G32" s="62"/>
      <c r="H32" s="222"/>
      <c r="I32" s="337" t="s">
        <v>1560</v>
      </c>
    </row>
    <row r="33" spans="1:9" ht="36.450000000000003" customHeight="1" x14ac:dyDescent="0.7">
      <c r="A33" s="359"/>
      <c r="B33" s="218" t="s">
        <v>1561</v>
      </c>
      <c r="C33" s="161">
        <v>3</v>
      </c>
      <c r="D33" s="141"/>
      <c r="E33" s="62"/>
      <c r="F33" s="222"/>
      <c r="G33" s="62"/>
      <c r="H33" s="222"/>
      <c r="I33" s="337"/>
    </row>
    <row r="34" spans="1:9" ht="58.2" customHeight="1" x14ac:dyDescent="0.7">
      <c r="A34" s="359"/>
      <c r="B34" s="218" t="s">
        <v>1562</v>
      </c>
      <c r="C34" s="161">
        <v>2</v>
      </c>
      <c r="D34" s="141"/>
      <c r="E34" s="62"/>
      <c r="F34" s="222"/>
      <c r="G34" s="62"/>
      <c r="H34" s="222"/>
      <c r="I34" s="337"/>
    </row>
    <row r="35" spans="1:9" ht="58.2" customHeight="1" x14ac:dyDescent="0.7">
      <c r="A35" s="357"/>
      <c r="B35" s="218" t="s">
        <v>1563</v>
      </c>
      <c r="C35" s="161">
        <v>1</v>
      </c>
      <c r="D35" s="141"/>
      <c r="E35" s="62"/>
      <c r="F35" s="222"/>
      <c r="G35" s="62"/>
      <c r="H35" s="222"/>
      <c r="I35" s="337"/>
    </row>
    <row r="36" spans="1:9" ht="58.2" customHeight="1" x14ac:dyDescent="0.7">
      <c r="A36" s="356" t="s">
        <v>1564</v>
      </c>
      <c r="B36" s="218" t="s">
        <v>1565</v>
      </c>
      <c r="C36" s="161" t="s">
        <v>739</v>
      </c>
      <c r="D36" s="141"/>
      <c r="E36" s="62"/>
      <c r="F36" s="222"/>
      <c r="G36" s="62"/>
      <c r="H36" s="222"/>
      <c r="I36" s="337" t="s">
        <v>1566</v>
      </c>
    </row>
    <row r="37" spans="1:9" ht="58.2" customHeight="1" x14ac:dyDescent="0.7">
      <c r="A37" s="359"/>
      <c r="B37" s="218" t="s">
        <v>1567</v>
      </c>
      <c r="C37" s="161" t="s">
        <v>739</v>
      </c>
      <c r="D37" s="141"/>
      <c r="E37" s="62"/>
      <c r="F37" s="222"/>
      <c r="G37" s="62"/>
      <c r="H37" s="222"/>
      <c r="I37" s="337"/>
    </row>
    <row r="38" spans="1:9" ht="58.2" customHeight="1" x14ac:dyDescent="0.7">
      <c r="A38" s="359"/>
      <c r="B38" s="218" t="s">
        <v>1568</v>
      </c>
      <c r="C38" s="161" t="s">
        <v>739</v>
      </c>
      <c r="D38" s="141"/>
      <c r="E38" s="62"/>
      <c r="F38" s="222"/>
      <c r="G38" s="62"/>
      <c r="H38" s="222"/>
      <c r="I38" s="337"/>
    </row>
    <row r="39" spans="1:9" ht="36.450000000000003" customHeight="1" x14ac:dyDescent="0.7">
      <c r="A39" s="357"/>
      <c r="B39" s="218" t="s">
        <v>1569</v>
      </c>
      <c r="C39" s="161" t="s">
        <v>739</v>
      </c>
      <c r="D39" s="141"/>
      <c r="E39" s="62"/>
      <c r="F39" s="222"/>
      <c r="G39" s="62"/>
      <c r="H39" s="222"/>
      <c r="I39" s="337"/>
    </row>
    <row r="40" spans="1:9" ht="58.2" customHeight="1" x14ac:dyDescent="0.7">
      <c r="A40" s="356" t="s">
        <v>1570</v>
      </c>
      <c r="B40" s="218" t="s">
        <v>1571</v>
      </c>
      <c r="C40" s="161" t="s">
        <v>724</v>
      </c>
      <c r="D40" s="141"/>
      <c r="E40" s="62"/>
      <c r="F40" s="222"/>
      <c r="G40" s="62"/>
      <c r="H40" s="222"/>
      <c r="I40" s="337" t="s">
        <v>1572</v>
      </c>
    </row>
    <row r="41" spans="1:9" ht="58.2" customHeight="1" x14ac:dyDescent="0.7">
      <c r="A41" s="357"/>
      <c r="B41" s="218" t="s">
        <v>1573</v>
      </c>
      <c r="C41" s="161" t="s">
        <v>739</v>
      </c>
      <c r="D41" s="141"/>
      <c r="E41" s="62"/>
      <c r="F41" s="222"/>
      <c r="G41" s="62"/>
      <c r="H41" s="222"/>
      <c r="I41" s="337"/>
    </row>
    <row r="42" spans="1:9" ht="13.95" customHeight="1" x14ac:dyDescent="0.7"/>
    <row r="43" spans="1:9" ht="13.95" customHeight="1" x14ac:dyDescent="0.7"/>
    <row r="44" spans="1:9" ht="13.95" customHeight="1" x14ac:dyDescent="0.7"/>
    <row r="45" spans="1:9" ht="13.95" customHeight="1" x14ac:dyDescent="0.7"/>
    <row r="46" spans="1:9" ht="13.95" customHeight="1" x14ac:dyDescent="0.7"/>
    <row r="47" spans="1:9" ht="13.95" customHeight="1" x14ac:dyDescent="0.7"/>
    <row r="48" spans="1:9"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sheetData>
  <sheetProtection algorithmName="SHA-512" hashValue="eAr0nwp6yZ/WNxBbAuiiPDQk1583VvBBSt7IrLW20kf5kTC5I0NfIkGWO6LUztKBo5atBmg7kEgFegnRyacyIQ==" saltValue="ZaPO7Z2H+z8ZltStSbrSNQ=="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G14" sqref="G14:G21"/>
    </sheetView>
  </sheetViews>
  <sheetFormatPr defaultColWidth="9.15234375" defaultRowHeight="20.399999999999999" x14ac:dyDescent="0.7"/>
  <cols>
    <col min="1" max="1" width="33.69140625" style="3" customWidth="1"/>
    <col min="2" max="2" width="8.6914062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11.6" customHeight="1" x14ac:dyDescent="0.7">
      <c r="A6" s="338" t="s">
        <v>1523</v>
      </c>
      <c r="B6" s="220" t="s">
        <v>1524</v>
      </c>
      <c r="C6" s="344">
        <f>'DevCoAssessmentAnalysis(I&amp;T)'!AD6 + 'DevCoAssessmentAnalysis(I&amp;T)'!AD7 +'DevCoAssessmentAnalysis(I&amp;T)'!AD8 +'DevCoAssessmentAnalysis(I&amp;T)'!AD9 +'DevCoAssessmentAnalysis(I&amp;T)'!AD10 +'DevCoAssessmentAnalysis(I&amp;T)'!AD11 +'DevCoAssessmentAnalysis(I&amp;T)'!AD12 +'DevCoAssessmentAnalysis(I&amp;T)'!AD13</f>
        <v>0.4</v>
      </c>
      <c r="D6" s="345" t="str">
        <f>_xlfn.IFS($C$6&gt;0.75,"Good",$C$6&gt;=0.6,"Satisfactory",$C$6&lt;0.6,"Needs Improvement")</f>
        <v>Needs Improvement</v>
      </c>
      <c r="E6" s="346">
        <f>_xlfn.IFS($D$6="Good", 3, $D$6="Satisfactory", 2, $D$6="Needs Improvement", 1)</f>
        <v>1</v>
      </c>
      <c r="F6" s="344">
        <v>0.3</v>
      </c>
      <c r="G6" s="347" t="s">
        <v>1525</v>
      </c>
      <c r="H6" s="344" t="s">
        <v>1574</v>
      </c>
      <c r="I6" s="344" t="s">
        <v>1575</v>
      </c>
      <c r="J6" s="344" t="s">
        <v>1241</v>
      </c>
      <c r="K6" s="342"/>
      <c r="L6" s="352" t="s">
        <v>1576</v>
      </c>
      <c r="M6" s="350">
        <f>($F$6*$E$6+$F$14*$E$14+$F$22*$E$22+$F$26*$E$26)</f>
        <v>1.7</v>
      </c>
      <c r="N6" s="351">
        <v>0.4</v>
      </c>
      <c r="O6" s="342"/>
      <c r="P6" s="343" t="s">
        <v>1577</v>
      </c>
      <c r="Q6" s="341">
        <f>($N$6*$M$6+$N$28*$M$28+$N$36*$M$36)</f>
        <v>1.43</v>
      </c>
      <c r="R6" s="342"/>
      <c r="AA6" s="223">
        <f>IF('DevCoAssessmentInput(I&amp;T)'!$C$40="Yes", 0.5, 0)</f>
        <v>0.5</v>
      </c>
      <c r="AB6" s="223">
        <f>IF('DevCoAssessmentInput(I&amp;T)'!$C$36="Yes", 0.2, 0)</f>
        <v>0</v>
      </c>
      <c r="AC6" s="223">
        <f>IF('DevCoAssessmentInput(I&amp;T)'!$C$28="Yes", 0.2, 0)</f>
        <v>0.2</v>
      </c>
      <c r="AD6" s="223">
        <f>IF('DevCoAssessmentInput(I&amp;T)'!$C$6="Yes", 0.15, 0)</f>
        <v>0.15</v>
      </c>
      <c r="AE6" s="223">
        <f>IF('DevCoAssessmentInput(I&amp;T)'!$C$22="Yes", 0.3, 0)</f>
        <v>0.3</v>
      </c>
      <c r="AF6" s="223">
        <f>IF('DevCoAssessmentInput(I&amp;T)'!$C$14="Yes", 0.15, 0)</f>
        <v>0.15</v>
      </c>
      <c r="AG6" s="223" t="str">
        <f>IF('DevCoAssessmentInput(I&amp;T)'!$C$26="Yes", "Yes", "No")</f>
        <v>Yes</v>
      </c>
    </row>
    <row r="7" spans="1:81" ht="13.95" hidden="1" customHeight="1" x14ac:dyDescent="0.7">
      <c r="A7" s="340"/>
      <c r="B7" s="220" t="s">
        <v>1526</v>
      </c>
      <c r="C7" s="344"/>
      <c r="D7" s="345"/>
      <c r="E7" s="346"/>
      <c r="F7" s="344"/>
      <c r="G7" s="348"/>
      <c r="H7" s="344"/>
      <c r="I7" s="344"/>
      <c r="J7" s="344"/>
      <c r="K7" s="342"/>
      <c r="L7" s="352"/>
      <c r="M7" s="350"/>
      <c r="N7" s="351"/>
      <c r="O7" s="342"/>
      <c r="P7" s="343"/>
      <c r="Q7" s="341"/>
      <c r="R7" s="342"/>
      <c r="AA7" s="223">
        <f>IF('DevCoAssessmentInput(I&amp;T)'!$C$41="Yes", 0.5, 0)</f>
        <v>0</v>
      </c>
      <c r="AB7" s="223">
        <f>IF('DevCoAssessmentInput(I&amp;T)'!$C$37="Yes", 0.3, 0)</f>
        <v>0</v>
      </c>
      <c r="AC7" s="223">
        <f>IF('DevCoAssessmentInput(I&amp;T)'!$C$29="Yes", 0.35, 0)</f>
        <v>0.35</v>
      </c>
      <c r="AD7" s="223">
        <f>IF('DevCoAssessmentInput(I&amp;T)'!$C$7="Yes", 0.15, 0)</f>
        <v>0.15</v>
      </c>
      <c r="AE7" s="223">
        <f>IF('DevCoAssessmentInput(I&amp;T)'!$C$23="Yes", 0.3, 0)</f>
        <v>0.3</v>
      </c>
      <c r="AF7" s="223">
        <f>IF('DevCoAssessmentInput(I&amp;T)'!$C$15="Yes", 0.15, 0)</f>
        <v>0.15</v>
      </c>
      <c r="AG7" s="223" t="str">
        <f>IF('DevCoAssessmentInput(I&amp;T)'!$C$27="Yes", "Yes", "No")</f>
        <v>Yes</v>
      </c>
    </row>
    <row r="8" spans="1:81" ht="13.95" hidden="1" customHeight="1" x14ac:dyDescent="0.7">
      <c r="A8" s="340"/>
      <c r="B8" s="220" t="s">
        <v>1527</v>
      </c>
      <c r="C8" s="344"/>
      <c r="D8" s="345"/>
      <c r="E8" s="346"/>
      <c r="F8" s="344"/>
      <c r="G8" s="348"/>
      <c r="H8" s="344"/>
      <c r="I8" s="344"/>
      <c r="J8" s="344"/>
      <c r="K8" s="342"/>
      <c r="L8" s="352"/>
      <c r="M8" s="350"/>
      <c r="N8" s="351"/>
      <c r="O8" s="342"/>
      <c r="P8" s="343"/>
      <c r="Q8" s="341"/>
      <c r="R8" s="342"/>
      <c r="AB8" s="223">
        <f>IF('DevCoAssessmentInput(I&amp;T)'!$C$38="Yes", 0.2, 0)</f>
        <v>0</v>
      </c>
      <c r="AC8" s="223">
        <f>IF('DevCoAssessmentInput(I&amp;T)'!$C$30="Yes", 0.15, 0)</f>
        <v>0</v>
      </c>
      <c r="AD8" s="223">
        <f>IF('DevCoAssessmentInput(I&amp;T)'!$C$8="Yes", 0.1, 0)</f>
        <v>0.1</v>
      </c>
      <c r="AE8" s="223">
        <f>IF('DevCoAssessmentInput(I&amp;T)'!$C$24="Yes", 0.3, 0)</f>
        <v>0</v>
      </c>
      <c r="AF8" s="223">
        <f>IF('DevCoAssessmentInput(I&amp;T)'!$C$16="Yes", 0.1, 0)</f>
        <v>0.1</v>
      </c>
    </row>
    <row r="9" spans="1:81" ht="13.95" hidden="1" customHeight="1" x14ac:dyDescent="0.7">
      <c r="A9" s="340"/>
      <c r="B9" s="220" t="s">
        <v>1528</v>
      </c>
      <c r="C9" s="344"/>
      <c r="D9" s="345"/>
      <c r="E9" s="346"/>
      <c r="F9" s="344"/>
      <c r="G9" s="348"/>
      <c r="H9" s="344"/>
      <c r="I9" s="344"/>
      <c r="J9" s="344"/>
      <c r="K9" s="342"/>
      <c r="L9" s="352"/>
      <c r="M9" s="350"/>
      <c r="N9" s="351"/>
      <c r="O9" s="342"/>
      <c r="P9" s="343"/>
      <c r="Q9" s="341"/>
      <c r="R9" s="342"/>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5" hidden="1" customHeight="1" x14ac:dyDescent="0.7">
      <c r="A10" s="340"/>
      <c r="B10" s="220" t="s">
        <v>1529</v>
      </c>
      <c r="C10" s="344"/>
      <c r="D10" s="345"/>
      <c r="E10" s="346"/>
      <c r="F10" s="344"/>
      <c r="G10" s="348"/>
      <c r="H10" s="344"/>
      <c r="I10" s="344"/>
      <c r="J10" s="344"/>
      <c r="K10" s="342"/>
      <c r="L10" s="352"/>
      <c r="M10" s="350"/>
      <c r="N10" s="351"/>
      <c r="O10" s="342"/>
      <c r="P10" s="343"/>
      <c r="Q10" s="341"/>
      <c r="R10" s="342"/>
      <c r="AB10" s="223">
        <f>IF('DevCoAssessmentInput(I&amp;T)'!$C$39="Yes", 0.3, 0)</f>
        <v>0</v>
      </c>
      <c r="AD10" s="223">
        <f>IF('DevCoAssessmentInput(I&amp;T)'!$C$10="Yes", 0.15, 0)</f>
        <v>0</v>
      </c>
      <c r="AF10" s="223">
        <f>IF('DevCoAssessmentInput(I&amp;T)'!$C$18="Yes", 0.15, 0)</f>
        <v>0</v>
      </c>
    </row>
    <row r="11" spans="1:81" ht="13.95" hidden="1" customHeight="1" x14ac:dyDescent="0.7">
      <c r="A11" s="340"/>
      <c r="B11" s="220" t="s">
        <v>1530</v>
      </c>
      <c r="C11" s="344"/>
      <c r="D11" s="345"/>
      <c r="E11" s="346"/>
      <c r="F11" s="344"/>
      <c r="G11" s="348"/>
      <c r="H11" s="344"/>
      <c r="I11" s="344"/>
      <c r="J11" s="344"/>
      <c r="K11" s="342"/>
      <c r="L11" s="352"/>
      <c r="M11" s="350"/>
      <c r="N11" s="351"/>
      <c r="O11" s="342"/>
      <c r="P11" s="343"/>
      <c r="Q11" s="341"/>
      <c r="R11" s="342"/>
      <c r="AD11" s="223">
        <f>IF('DevCoAssessmentInput(I&amp;T)'!$C$11="Yes", 0.15, 0)</f>
        <v>0</v>
      </c>
      <c r="AF11" s="223">
        <f>IF('DevCoAssessmentInput(I&amp;T)'!$C$19="Yes", 0.15, 0)</f>
        <v>0</v>
      </c>
    </row>
    <row r="12" spans="1:81" ht="13.95" hidden="1" customHeight="1" x14ac:dyDescent="0.7">
      <c r="A12" s="340"/>
      <c r="B12" s="220" t="s">
        <v>1531</v>
      </c>
      <c r="C12" s="344"/>
      <c r="D12" s="345"/>
      <c r="E12" s="346"/>
      <c r="F12" s="344"/>
      <c r="G12" s="348"/>
      <c r="H12" s="344"/>
      <c r="I12" s="344"/>
      <c r="J12" s="344"/>
      <c r="K12" s="342"/>
      <c r="L12" s="352"/>
      <c r="M12" s="350"/>
      <c r="N12" s="351"/>
      <c r="O12" s="342"/>
      <c r="P12" s="343"/>
      <c r="Q12" s="341"/>
      <c r="R12" s="342"/>
      <c r="AD12" s="223">
        <f>IF('DevCoAssessmentInput(I&amp;T)'!$C$12="Yes", 0.1, 0)</f>
        <v>0</v>
      </c>
      <c r="AF12" s="223">
        <f>IF('DevCoAssessmentInput(I&amp;T)'!$C$20="Yes", 0.1, 0)</f>
        <v>0</v>
      </c>
    </row>
    <row r="13" spans="1:81" ht="13.95" hidden="1" customHeight="1" x14ac:dyDescent="0.7">
      <c r="A13" s="339"/>
      <c r="B13" s="220" t="s">
        <v>1532</v>
      </c>
      <c r="C13" s="344"/>
      <c r="D13" s="345"/>
      <c r="E13" s="346"/>
      <c r="F13" s="344"/>
      <c r="G13" s="349"/>
      <c r="H13" s="344"/>
      <c r="I13" s="344"/>
      <c r="J13" s="344"/>
      <c r="K13" s="342"/>
      <c r="L13" s="352"/>
      <c r="M13" s="350"/>
      <c r="N13" s="351"/>
      <c r="O13" s="342"/>
      <c r="P13" s="343"/>
      <c r="Q13" s="341"/>
      <c r="R13" s="342"/>
      <c r="AD13" s="223">
        <f>IF('DevCoAssessmentInput(I&amp;T)'!$C$13="Yes", 0.1, 0)</f>
        <v>0</v>
      </c>
      <c r="AF13" s="223">
        <f>IF('DevCoAssessmentInput(I&amp;T)'!$C$21="Yes", 0.1, 0)</f>
        <v>0</v>
      </c>
    </row>
    <row r="14" spans="1:81" ht="111.6" customHeight="1" x14ac:dyDescent="0.7">
      <c r="A14" s="338" t="s">
        <v>1533</v>
      </c>
      <c r="B14" s="220" t="s">
        <v>1534</v>
      </c>
      <c r="C14" s="344">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45" t="str">
        <f>_xlfn.IFS($C$14&gt;0.75,"Good",$C$14&gt;=0.6,"Satisfactory",$C$14&lt;0.6,"Needs Improvement")</f>
        <v>Needs Improvement</v>
      </c>
      <c r="E14" s="346">
        <f>_xlfn.IFS($D$14="Good", 3, $D$14="Satisfactory", 2, $D$14="Needs Improvement", 1)</f>
        <v>1</v>
      </c>
      <c r="F14" s="344">
        <v>0.3</v>
      </c>
      <c r="G14" s="347" t="s">
        <v>1535</v>
      </c>
      <c r="H14" s="344" t="s">
        <v>1574</v>
      </c>
      <c r="I14" s="344" t="s">
        <v>1575</v>
      </c>
      <c r="J14" s="344" t="s">
        <v>1241</v>
      </c>
      <c r="K14" s="342"/>
      <c r="L14" s="352"/>
      <c r="M14" s="350"/>
      <c r="N14" s="351"/>
      <c r="O14" s="342"/>
      <c r="P14" s="343"/>
      <c r="Q14" s="341"/>
      <c r="R14" s="342"/>
    </row>
    <row r="15" spans="1:81" ht="13.95" hidden="1" customHeight="1" x14ac:dyDescent="0.7">
      <c r="A15" s="340"/>
      <c r="B15" s="220" t="s">
        <v>1536</v>
      </c>
      <c r="C15" s="344"/>
      <c r="D15" s="345"/>
      <c r="E15" s="346"/>
      <c r="F15" s="344"/>
      <c r="G15" s="348"/>
      <c r="H15" s="344"/>
      <c r="I15" s="344"/>
      <c r="J15" s="344"/>
      <c r="K15" s="342"/>
      <c r="L15" s="352"/>
      <c r="M15" s="350"/>
      <c r="N15" s="351"/>
      <c r="O15" s="342"/>
      <c r="P15" s="343"/>
      <c r="Q15" s="341"/>
      <c r="R15" s="342"/>
    </row>
    <row r="16" spans="1:81" ht="13.95" hidden="1" customHeight="1" x14ac:dyDescent="0.7">
      <c r="A16" s="340"/>
      <c r="B16" s="220" t="s">
        <v>1537</v>
      </c>
      <c r="C16" s="344"/>
      <c r="D16" s="345"/>
      <c r="E16" s="346"/>
      <c r="F16" s="344"/>
      <c r="G16" s="348"/>
      <c r="H16" s="344"/>
      <c r="I16" s="344"/>
      <c r="J16" s="344"/>
      <c r="K16" s="342"/>
      <c r="L16" s="352"/>
      <c r="M16" s="350"/>
      <c r="N16" s="351"/>
      <c r="O16" s="342"/>
      <c r="P16" s="343"/>
      <c r="Q16" s="341"/>
      <c r="R16" s="342"/>
    </row>
    <row r="17" spans="1:18" ht="13.95" hidden="1" customHeight="1" x14ac:dyDescent="0.7">
      <c r="A17" s="340"/>
      <c r="B17" s="220" t="s">
        <v>1538</v>
      </c>
      <c r="C17" s="344"/>
      <c r="D17" s="345"/>
      <c r="E17" s="346"/>
      <c r="F17" s="344"/>
      <c r="G17" s="348"/>
      <c r="H17" s="344"/>
      <c r="I17" s="344"/>
      <c r="J17" s="344"/>
      <c r="K17" s="342"/>
      <c r="L17" s="352"/>
      <c r="M17" s="350"/>
      <c r="N17" s="351"/>
      <c r="O17" s="342"/>
      <c r="P17" s="343"/>
      <c r="Q17" s="341"/>
      <c r="R17" s="342"/>
    </row>
    <row r="18" spans="1:18" ht="13.95" hidden="1" customHeight="1" x14ac:dyDescent="0.7">
      <c r="A18" s="340"/>
      <c r="B18" s="220" t="s">
        <v>1539</v>
      </c>
      <c r="C18" s="344"/>
      <c r="D18" s="345"/>
      <c r="E18" s="346"/>
      <c r="F18" s="344"/>
      <c r="G18" s="348"/>
      <c r="H18" s="344"/>
      <c r="I18" s="344"/>
      <c r="J18" s="344"/>
      <c r="K18" s="342"/>
      <c r="L18" s="352"/>
      <c r="M18" s="350"/>
      <c r="N18" s="351"/>
      <c r="O18" s="342"/>
      <c r="P18" s="343"/>
      <c r="Q18" s="341"/>
      <c r="R18" s="342"/>
    </row>
    <row r="19" spans="1:18" ht="13.95" hidden="1" customHeight="1" x14ac:dyDescent="0.7">
      <c r="A19" s="340"/>
      <c r="B19" s="220" t="s">
        <v>1540</v>
      </c>
      <c r="C19" s="344"/>
      <c r="D19" s="345"/>
      <c r="E19" s="346"/>
      <c r="F19" s="344"/>
      <c r="G19" s="348"/>
      <c r="H19" s="344"/>
      <c r="I19" s="344"/>
      <c r="J19" s="344"/>
      <c r="K19" s="342"/>
      <c r="L19" s="352"/>
      <c r="M19" s="350"/>
      <c r="N19" s="351"/>
      <c r="O19" s="342"/>
      <c r="P19" s="343"/>
      <c r="Q19" s="341"/>
      <c r="R19" s="342"/>
    </row>
    <row r="20" spans="1:18" ht="13.95" hidden="1" customHeight="1" x14ac:dyDescent="0.7">
      <c r="A20" s="340"/>
      <c r="B20" s="220" t="s">
        <v>1541</v>
      </c>
      <c r="C20" s="344"/>
      <c r="D20" s="345"/>
      <c r="E20" s="346"/>
      <c r="F20" s="344"/>
      <c r="G20" s="348"/>
      <c r="H20" s="344"/>
      <c r="I20" s="344"/>
      <c r="J20" s="344"/>
      <c r="K20" s="342"/>
      <c r="L20" s="352"/>
      <c r="M20" s="350"/>
      <c r="N20" s="351"/>
      <c r="O20" s="342"/>
      <c r="P20" s="343"/>
      <c r="Q20" s="341"/>
      <c r="R20" s="342"/>
    </row>
    <row r="21" spans="1:18" ht="13.95" hidden="1" customHeight="1" x14ac:dyDescent="0.7">
      <c r="A21" s="339"/>
      <c r="B21" s="220" t="s">
        <v>1532</v>
      </c>
      <c r="C21" s="344"/>
      <c r="D21" s="345"/>
      <c r="E21" s="346"/>
      <c r="F21" s="344"/>
      <c r="G21" s="349"/>
      <c r="H21" s="344"/>
      <c r="I21" s="344"/>
      <c r="J21" s="344"/>
      <c r="K21" s="342"/>
      <c r="L21" s="352"/>
      <c r="M21" s="350"/>
      <c r="N21" s="351"/>
      <c r="O21" s="342"/>
      <c r="P21" s="343"/>
      <c r="Q21" s="341"/>
      <c r="R21" s="342"/>
    </row>
    <row r="22" spans="1:18" ht="111.6" customHeight="1" x14ac:dyDescent="0.7">
      <c r="A22" s="338" t="s">
        <v>1542</v>
      </c>
      <c r="B22" s="220" t="s">
        <v>1543</v>
      </c>
      <c r="C22" s="344">
        <f>'DevCoAssessmentAnalysis(I&amp;T)'!AE6 + 'DevCoAssessmentAnalysis(I&amp;T)'!AE7 +'DevCoAssessmentAnalysis(I&amp;T)'!AE8 +'DevCoAssessmentAnalysis(I&amp;T)'!AE9</f>
        <v>0.6</v>
      </c>
      <c r="D22" s="345" t="str">
        <f>_xlfn.IFS($C$22&gt;0.75,"Good",$C$22&gt;=0.6,"Satisfactory",$C$22&lt;0.6,"Needs Improvement")</f>
        <v>Satisfactory</v>
      </c>
      <c r="E22" s="346">
        <f>_xlfn.IFS($D$22="Good", 3, $D$22="Satisfactory", 2, $D$22="Needs Improvement", 1)</f>
        <v>2</v>
      </c>
      <c r="F22" s="344">
        <v>0.1</v>
      </c>
      <c r="G22" s="347" t="s">
        <v>1544</v>
      </c>
      <c r="H22" s="344" t="s">
        <v>1574</v>
      </c>
      <c r="I22" s="344" t="s">
        <v>1575</v>
      </c>
      <c r="J22" s="344" t="s">
        <v>1241</v>
      </c>
      <c r="K22" s="342"/>
      <c r="L22" s="352"/>
      <c r="M22" s="350"/>
      <c r="N22" s="351"/>
      <c r="O22" s="342"/>
      <c r="P22" s="343"/>
      <c r="Q22" s="341"/>
      <c r="R22" s="342"/>
    </row>
    <row r="23" spans="1:18" ht="13.95" hidden="1" customHeight="1" x14ac:dyDescent="0.7">
      <c r="A23" s="340"/>
      <c r="B23" s="220" t="s">
        <v>1545</v>
      </c>
      <c r="C23" s="344"/>
      <c r="D23" s="345"/>
      <c r="E23" s="346"/>
      <c r="F23" s="344"/>
      <c r="G23" s="348"/>
      <c r="H23" s="344"/>
      <c r="I23" s="344"/>
      <c r="J23" s="344"/>
      <c r="K23" s="342"/>
      <c r="L23" s="352"/>
      <c r="M23" s="350"/>
      <c r="N23" s="351"/>
      <c r="O23" s="342"/>
      <c r="P23" s="343"/>
      <c r="Q23" s="341"/>
      <c r="R23" s="342"/>
    </row>
    <row r="24" spans="1:18" ht="13.95" hidden="1" customHeight="1" x14ac:dyDescent="0.7">
      <c r="A24" s="340"/>
      <c r="B24" s="220" t="s">
        <v>1546</v>
      </c>
      <c r="C24" s="344"/>
      <c r="D24" s="345"/>
      <c r="E24" s="346"/>
      <c r="F24" s="344"/>
      <c r="G24" s="348"/>
      <c r="H24" s="344"/>
      <c r="I24" s="344"/>
      <c r="J24" s="344"/>
      <c r="K24" s="342"/>
      <c r="L24" s="352"/>
      <c r="M24" s="350"/>
      <c r="N24" s="351"/>
      <c r="O24" s="342"/>
      <c r="P24" s="343"/>
      <c r="Q24" s="341"/>
      <c r="R24" s="342"/>
    </row>
    <row r="25" spans="1:18" ht="13.95" hidden="1" customHeight="1" x14ac:dyDescent="0.7">
      <c r="A25" s="339"/>
      <c r="B25" s="220" t="s">
        <v>1547</v>
      </c>
      <c r="C25" s="344"/>
      <c r="D25" s="345"/>
      <c r="E25" s="346"/>
      <c r="F25" s="344"/>
      <c r="G25" s="349"/>
      <c r="H25" s="344"/>
      <c r="I25" s="344"/>
      <c r="J25" s="344"/>
      <c r="K25" s="342"/>
      <c r="L25" s="352"/>
      <c r="M25" s="350"/>
      <c r="N25" s="351"/>
      <c r="O25" s="342"/>
      <c r="P25" s="343"/>
      <c r="Q25" s="341"/>
      <c r="R25" s="342"/>
    </row>
    <row r="26" spans="1:18" ht="70.2" customHeight="1" x14ac:dyDescent="0.7">
      <c r="A26" s="338" t="s">
        <v>1548</v>
      </c>
      <c r="B26" s="220" t="s">
        <v>1549</v>
      </c>
      <c r="C26" s="344" t="str">
        <f>IF(OR('DevCoAssessmentAnalysis(I&amp;T)'!AG6="Yes", 'DevCoAssessmentAnalysis(I&amp;T)'!AG7="Yes"), "Yes", "No")</f>
        <v>Yes</v>
      </c>
      <c r="D26" s="345" t="str">
        <f>_xlfn.IFS($C$26="Yes","Good",$C$26="No","Needs Improvement")</f>
        <v>Good</v>
      </c>
      <c r="E26" s="346">
        <f>_xlfn.IFS($D$26="Good", 3, $D$26="Needs Improvement", 1)</f>
        <v>3</v>
      </c>
      <c r="F26" s="344">
        <v>0.3</v>
      </c>
      <c r="G26" s="347" t="s">
        <v>1550</v>
      </c>
      <c r="H26" s="344" t="s">
        <v>724</v>
      </c>
      <c r="I26" s="344"/>
      <c r="J26" s="344" t="s">
        <v>739</v>
      </c>
      <c r="K26" s="342"/>
      <c r="L26" s="352"/>
      <c r="M26" s="350"/>
      <c r="N26" s="351"/>
      <c r="O26" s="342"/>
      <c r="P26" s="343"/>
      <c r="Q26" s="341"/>
      <c r="R26" s="342"/>
    </row>
    <row r="27" spans="1:18" ht="13.95" hidden="1" customHeight="1" x14ac:dyDescent="0.7">
      <c r="A27" s="339"/>
      <c r="B27" s="220" t="s">
        <v>1551</v>
      </c>
      <c r="C27" s="344"/>
      <c r="D27" s="345"/>
      <c r="E27" s="346"/>
      <c r="F27" s="344"/>
      <c r="G27" s="349"/>
      <c r="H27" s="344"/>
      <c r="I27" s="344"/>
      <c r="J27" s="344"/>
      <c r="K27" s="342"/>
      <c r="L27" s="352"/>
      <c r="M27" s="350"/>
      <c r="N27" s="351"/>
      <c r="O27" s="342"/>
      <c r="P27" s="343"/>
      <c r="Q27" s="341"/>
      <c r="R27" s="342"/>
    </row>
    <row r="28" spans="1:18" ht="70.2" customHeight="1" x14ac:dyDescent="0.7">
      <c r="A28" s="338" t="s">
        <v>1552</v>
      </c>
      <c r="B28" s="220" t="s">
        <v>1553</v>
      </c>
      <c r="C28" s="344">
        <f>'DevCoAssessmentAnalysis(I&amp;T)'!AC6 + 'DevCoAssessmentAnalysis(I&amp;T)'!AC7 +'DevCoAssessmentAnalysis(I&amp;T)'!AC8 +'DevCoAssessmentAnalysis(I&amp;T)'!AC9</f>
        <v>0.55000000000000004</v>
      </c>
      <c r="D28" s="345" t="str">
        <f>_xlfn.IFS($C$28&gt;0.75,"Good",$C$28&gt;=0.6,"Satisfactory",$C$28&lt;0.6,"Needs Improvement")</f>
        <v>Needs Improvement</v>
      </c>
      <c r="E28" s="346">
        <f>_xlfn.IFS($D$28="Good", 3, $D$28="Satisfactory", 2, $D$28="Needs Improvement", 1)</f>
        <v>1</v>
      </c>
      <c r="F28" s="344">
        <v>0.5</v>
      </c>
      <c r="G28" s="347" t="s">
        <v>1554</v>
      </c>
      <c r="H28" s="344" t="s">
        <v>1574</v>
      </c>
      <c r="I28" s="344" t="s">
        <v>1575</v>
      </c>
      <c r="J28" s="344" t="s">
        <v>1241</v>
      </c>
      <c r="K28" s="342"/>
      <c r="L28" s="352" t="s">
        <v>1578</v>
      </c>
      <c r="M28" s="350">
        <f>($F$28*$E$28+$F$32*$E$32)</f>
        <v>1</v>
      </c>
      <c r="N28" s="351">
        <v>0.3</v>
      </c>
      <c r="O28" s="342"/>
      <c r="P28" s="343"/>
      <c r="Q28" s="341"/>
      <c r="R28" s="342"/>
    </row>
    <row r="29" spans="1:18" ht="13.95" hidden="1" customHeight="1" x14ac:dyDescent="0.7">
      <c r="A29" s="340"/>
      <c r="B29" s="220" t="s">
        <v>1555</v>
      </c>
      <c r="C29" s="344"/>
      <c r="D29" s="345"/>
      <c r="E29" s="346"/>
      <c r="F29" s="344"/>
      <c r="G29" s="348"/>
      <c r="H29" s="344"/>
      <c r="I29" s="344"/>
      <c r="J29" s="344"/>
      <c r="K29" s="342"/>
      <c r="L29" s="352"/>
      <c r="M29" s="350"/>
      <c r="N29" s="351"/>
      <c r="O29" s="342"/>
      <c r="P29" s="343"/>
      <c r="Q29" s="341"/>
      <c r="R29" s="342"/>
    </row>
    <row r="30" spans="1:18" ht="13.95" hidden="1" customHeight="1" x14ac:dyDescent="0.7">
      <c r="A30" s="340"/>
      <c r="B30" s="220" t="s">
        <v>1556</v>
      </c>
      <c r="C30" s="344"/>
      <c r="D30" s="345"/>
      <c r="E30" s="346"/>
      <c r="F30" s="344"/>
      <c r="G30" s="348"/>
      <c r="H30" s="344"/>
      <c r="I30" s="344"/>
      <c r="J30" s="344"/>
      <c r="K30" s="342"/>
      <c r="L30" s="352"/>
      <c r="M30" s="350"/>
      <c r="N30" s="351"/>
      <c r="O30" s="342"/>
      <c r="P30" s="343"/>
      <c r="Q30" s="341"/>
      <c r="R30" s="342"/>
    </row>
    <row r="31" spans="1:18" ht="13.95" hidden="1" customHeight="1" x14ac:dyDescent="0.7">
      <c r="A31" s="339"/>
      <c r="B31" s="220" t="s">
        <v>1557</v>
      </c>
      <c r="C31" s="344"/>
      <c r="D31" s="345"/>
      <c r="E31" s="346"/>
      <c r="F31" s="344"/>
      <c r="G31" s="349"/>
      <c r="H31" s="344"/>
      <c r="I31" s="344"/>
      <c r="J31" s="344"/>
      <c r="K31" s="342"/>
      <c r="L31" s="352"/>
      <c r="M31" s="350"/>
      <c r="N31" s="351"/>
      <c r="O31" s="342"/>
      <c r="P31" s="343"/>
      <c r="Q31" s="341"/>
      <c r="R31" s="342"/>
    </row>
    <row r="32" spans="1:18" ht="84" customHeight="1" x14ac:dyDescent="0.7">
      <c r="A32" s="338" t="s">
        <v>1558</v>
      </c>
      <c r="B32" s="220" t="s">
        <v>1559</v>
      </c>
      <c r="C32" s="344">
        <f>('DevCoAssessmentInput(I&amp;T)'!$C$34 + 'DevCoAssessmentInput(I&amp;T)'!$C$35) / ('DevCoAssessmentInput(I&amp;T)'!$C$32 + 'DevCoAssessmentInput(I&amp;T)'!$C$33)</f>
        <v>0.13043478260869565</v>
      </c>
      <c r="D32" s="345" t="str">
        <f>_xlfn.IFS($C$32&gt;0.4,"Good",$C$32&gt;=0.2,"Satisfactory",$C$32&lt;0.2,"Needs Improvement")</f>
        <v>Needs Improvement</v>
      </c>
      <c r="E32" s="346">
        <f>_xlfn.IFS($D$32="Good", 3, $D$32="Satisfactory", 2, $D$32="Needs Improvement", 1)</f>
        <v>1</v>
      </c>
      <c r="F32" s="344">
        <v>0.5</v>
      </c>
      <c r="G32" s="347" t="s">
        <v>1560</v>
      </c>
      <c r="H32" s="344" t="s">
        <v>790</v>
      </c>
      <c r="I32" s="344" t="s">
        <v>789</v>
      </c>
      <c r="J32" s="344" t="s">
        <v>788</v>
      </c>
      <c r="K32" s="342"/>
      <c r="L32" s="352"/>
      <c r="M32" s="350"/>
      <c r="N32" s="351"/>
      <c r="O32" s="342"/>
      <c r="P32" s="343"/>
      <c r="Q32" s="341"/>
      <c r="R32" s="342"/>
    </row>
    <row r="33" spans="1:18" ht="13.95" hidden="1" customHeight="1" x14ac:dyDescent="0.7">
      <c r="A33" s="340"/>
      <c r="B33" s="220" t="s">
        <v>1561</v>
      </c>
      <c r="C33" s="344"/>
      <c r="D33" s="345"/>
      <c r="E33" s="346"/>
      <c r="F33" s="344"/>
      <c r="G33" s="348"/>
      <c r="H33" s="344"/>
      <c r="I33" s="344"/>
      <c r="J33" s="344"/>
      <c r="K33" s="342"/>
      <c r="L33" s="352"/>
      <c r="M33" s="350"/>
      <c r="N33" s="351"/>
      <c r="O33" s="342"/>
      <c r="P33" s="343"/>
      <c r="Q33" s="341"/>
      <c r="R33" s="342"/>
    </row>
    <row r="34" spans="1:18" ht="13.95" hidden="1" customHeight="1" x14ac:dyDescent="0.7">
      <c r="A34" s="340"/>
      <c r="B34" s="220" t="s">
        <v>1562</v>
      </c>
      <c r="C34" s="344"/>
      <c r="D34" s="345"/>
      <c r="E34" s="346"/>
      <c r="F34" s="344"/>
      <c r="G34" s="348"/>
      <c r="H34" s="344"/>
      <c r="I34" s="344"/>
      <c r="J34" s="344"/>
      <c r="K34" s="342"/>
      <c r="L34" s="352"/>
      <c r="M34" s="350"/>
      <c r="N34" s="351"/>
      <c r="O34" s="342"/>
      <c r="P34" s="343"/>
      <c r="Q34" s="341"/>
      <c r="R34" s="342"/>
    </row>
    <row r="35" spans="1:18" ht="13.95" hidden="1" customHeight="1" x14ac:dyDescent="0.7">
      <c r="A35" s="339"/>
      <c r="B35" s="220" t="s">
        <v>1563</v>
      </c>
      <c r="C35" s="344"/>
      <c r="D35" s="345"/>
      <c r="E35" s="346"/>
      <c r="F35" s="344"/>
      <c r="G35" s="349"/>
      <c r="H35" s="344"/>
      <c r="I35" s="344"/>
      <c r="J35" s="344"/>
      <c r="K35" s="342"/>
      <c r="L35" s="352"/>
      <c r="M35" s="350"/>
      <c r="N35" s="351"/>
      <c r="O35" s="342"/>
      <c r="P35" s="343"/>
      <c r="Q35" s="341"/>
      <c r="R35" s="342"/>
    </row>
    <row r="36" spans="1:18" ht="111.6" customHeight="1" x14ac:dyDescent="0.7">
      <c r="A36" s="338" t="s">
        <v>1564</v>
      </c>
      <c r="B36" s="220" t="s">
        <v>1565</v>
      </c>
      <c r="C36" s="344">
        <f>'DevCoAssessmentAnalysis(I&amp;T)'!AB6 + 'DevCoAssessmentAnalysis(I&amp;T)'!AB7 +'DevCoAssessmentAnalysis(I&amp;T)'!AB8 +'DevCoAssessmentAnalysis(I&amp;T)'!AB9 +'DevCoAssessmentAnalysis(I&amp;T)'!AB10</f>
        <v>0</v>
      </c>
      <c r="D36" s="345" t="str">
        <f>_xlfn.IFS($C$36&gt;0.6,"Good",$C$36&gt;=0.4,"Satisfactory",$C$36&lt;0.4,"Needs Improvement")</f>
        <v>Needs Improvement</v>
      </c>
      <c r="E36" s="346">
        <f>_xlfn.IFS($D$36="Good", 3, $D$36="Satisfactory", 2, $D$36="Needs Improvement", 1)</f>
        <v>1</v>
      </c>
      <c r="F36" s="344">
        <v>0.5</v>
      </c>
      <c r="G36" s="347" t="s">
        <v>1566</v>
      </c>
      <c r="H36" s="344" t="s">
        <v>1245</v>
      </c>
      <c r="I36" s="344" t="s">
        <v>1287</v>
      </c>
      <c r="J36" s="344" t="s">
        <v>796</v>
      </c>
      <c r="K36" s="342"/>
      <c r="L36" s="352" t="s">
        <v>1579</v>
      </c>
      <c r="M36" s="350">
        <f>($F$36*$E$36+$F$40*$E$40)</f>
        <v>1.5</v>
      </c>
      <c r="N36" s="351">
        <v>0.3</v>
      </c>
      <c r="O36" s="342"/>
      <c r="P36" s="343"/>
      <c r="Q36" s="341"/>
      <c r="R36" s="342"/>
    </row>
    <row r="37" spans="1:18" ht="13.95" hidden="1" customHeight="1" x14ac:dyDescent="0.7">
      <c r="A37" s="340"/>
      <c r="B37" s="220" t="s">
        <v>1567</v>
      </c>
      <c r="C37" s="344"/>
      <c r="D37" s="345"/>
      <c r="E37" s="346"/>
      <c r="F37" s="344"/>
      <c r="G37" s="348"/>
      <c r="H37" s="344"/>
      <c r="I37" s="344"/>
      <c r="J37" s="344"/>
      <c r="K37" s="342"/>
      <c r="L37" s="352"/>
      <c r="M37" s="350"/>
      <c r="N37" s="351"/>
      <c r="O37" s="342"/>
      <c r="P37" s="343"/>
      <c r="Q37" s="341"/>
      <c r="R37" s="342"/>
    </row>
    <row r="38" spans="1:18" ht="13.95" hidden="1" customHeight="1" x14ac:dyDescent="0.7">
      <c r="A38" s="340"/>
      <c r="B38" s="220" t="s">
        <v>1568</v>
      </c>
      <c r="C38" s="344"/>
      <c r="D38" s="345"/>
      <c r="E38" s="346"/>
      <c r="F38" s="344"/>
      <c r="G38" s="348"/>
      <c r="H38" s="344"/>
      <c r="I38" s="344"/>
      <c r="J38" s="344"/>
      <c r="K38" s="342"/>
      <c r="L38" s="352"/>
      <c r="M38" s="350"/>
      <c r="N38" s="351"/>
      <c r="O38" s="342"/>
      <c r="P38" s="343"/>
      <c r="Q38" s="341"/>
      <c r="R38" s="342"/>
    </row>
    <row r="39" spans="1:18" ht="13.95" hidden="1" customHeight="1" x14ac:dyDescent="0.7">
      <c r="A39" s="339"/>
      <c r="B39" s="220" t="s">
        <v>1569</v>
      </c>
      <c r="C39" s="344"/>
      <c r="D39" s="345"/>
      <c r="E39" s="346"/>
      <c r="F39" s="344"/>
      <c r="G39" s="349"/>
      <c r="H39" s="344"/>
      <c r="I39" s="344"/>
      <c r="J39" s="344"/>
      <c r="K39" s="342"/>
      <c r="L39" s="352"/>
      <c r="M39" s="350"/>
      <c r="N39" s="351"/>
      <c r="O39" s="342"/>
      <c r="P39" s="343"/>
      <c r="Q39" s="341"/>
      <c r="R39" s="342"/>
    </row>
    <row r="40" spans="1:18" ht="56.55" customHeight="1" x14ac:dyDescent="0.7">
      <c r="A40" s="338" t="s">
        <v>1570</v>
      </c>
      <c r="B40" s="220" t="s">
        <v>1571</v>
      </c>
      <c r="C40" s="344">
        <f>'DevCoAssessmentAnalysis(I&amp;T)'!AA6 + 'DevCoAssessmentAnalysis(I&amp;T)'!AA7</f>
        <v>0.5</v>
      </c>
      <c r="D40" s="345" t="str">
        <f>_xlfn.IFS($C$40&gt;0.5,"Good",$C$40=0.5,"Satisfactory",$C$40&lt;0.5,"Needs Improvement")</f>
        <v>Satisfactory</v>
      </c>
      <c r="E40" s="346">
        <f>_xlfn.IFS($D$40="Good", 3, $D$40="Satisfactory", 2, $D$40="Needs Improvement", 1)</f>
        <v>2</v>
      </c>
      <c r="F40" s="344">
        <v>0.5</v>
      </c>
      <c r="G40" s="347" t="s">
        <v>1572</v>
      </c>
      <c r="H40" s="344" t="s">
        <v>1580</v>
      </c>
      <c r="I40" s="344">
        <v>0.5</v>
      </c>
      <c r="J40" s="344" t="s">
        <v>784</v>
      </c>
      <c r="K40" s="342"/>
      <c r="L40" s="352"/>
      <c r="M40" s="350"/>
      <c r="N40" s="351"/>
      <c r="O40" s="342"/>
      <c r="P40" s="343"/>
      <c r="Q40" s="341"/>
      <c r="R40" s="342"/>
    </row>
    <row r="41" spans="1:18" ht="13.95" hidden="1" customHeight="1" x14ac:dyDescent="0.7">
      <c r="A41" s="339"/>
      <c r="B41" s="220" t="s">
        <v>1573</v>
      </c>
      <c r="C41" s="344"/>
      <c r="D41" s="345"/>
      <c r="E41" s="346"/>
      <c r="F41" s="344"/>
      <c r="G41" s="349"/>
      <c r="H41" s="344"/>
      <c r="I41" s="344"/>
      <c r="J41" s="344"/>
      <c r="K41" s="342"/>
      <c r="L41" s="352"/>
      <c r="M41" s="350"/>
      <c r="N41" s="351"/>
      <c r="O41" s="342"/>
      <c r="P41" s="343"/>
      <c r="Q41" s="341"/>
      <c r="R41" s="342"/>
    </row>
    <row r="42" spans="1:18" ht="13.95" customHeight="1" x14ac:dyDescent="0.7"/>
    <row r="43" spans="1:18" ht="13.95" customHeight="1" x14ac:dyDescent="0.7"/>
    <row r="44" spans="1:18" ht="13.95" customHeight="1" x14ac:dyDescent="0.7"/>
    <row r="45" spans="1:18" ht="13.95" customHeight="1" x14ac:dyDescent="0.7"/>
    <row r="46" spans="1:18" ht="13.95" customHeight="1" x14ac:dyDescent="0.7"/>
    <row r="47" spans="1:18" ht="13.95" customHeight="1" x14ac:dyDescent="0.7"/>
    <row r="48" spans="1:1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sheetData>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203" priority="185" stopIfTrue="1" operator="equal">
      <formula>0</formula>
    </cfRule>
    <cfRule type="cellIs" dxfId="202" priority="186" stopIfTrue="1" operator="lessThan">
      <formula>1.5</formula>
    </cfRule>
    <cfRule type="cellIs" dxfId="201" priority="187" stopIfTrue="1" operator="lessThan">
      <formula>2.5</formula>
    </cfRule>
    <cfRule type="cellIs" dxfId="200" priority="188" stopIfTrue="1" operator="greaterThanOrEqual">
      <formula>2.5</formula>
    </cfRule>
  </conditionalFormatting>
  <conditionalFormatting sqref="E6:E41">
    <cfRule type="cellIs" dxfId="199" priority="189" stopIfTrue="1" operator="equal">
      <formula>0</formula>
    </cfRule>
    <cfRule type="cellIs" dxfId="198" priority="190" stopIfTrue="1" operator="lessThan">
      <formula>1.5</formula>
    </cfRule>
    <cfRule type="cellIs" dxfId="197" priority="191" stopIfTrue="1" operator="lessThan">
      <formula>2.5</formula>
    </cfRule>
    <cfRule type="cellIs" dxfId="196" priority="192" stopIfTrue="1" operator="greaterThanOrEqual">
      <formula>2.5</formula>
    </cfRule>
  </conditionalFormatting>
  <conditionalFormatting sqref="M6:M41">
    <cfRule type="cellIs" dxfId="195" priority="193" stopIfTrue="1" operator="equal">
      <formula>0</formula>
    </cfRule>
    <cfRule type="cellIs" dxfId="194" priority="194" stopIfTrue="1" operator="lessThan">
      <formula>1.5</formula>
    </cfRule>
    <cfRule type="cellIs" dxfId="193" priority="195" stopIfTrue="1" operator="lessThan">
      <formula>2.5</formula>
    </cfRule>
    <cfRule type="cellIs" dxfId="192" priority="196" stopIfTrue="1" operator="greaterThanOrEqual">
      <formula>2.5</formula>
    </cfRule>
  </conditionalFormatting>
  <conditionalFormatting sqref="Q6:Q41">
    <cfRule type="cellIs" dxfId="191" priority="197" stopIfTrue="1" operator="equal">
      <formula>0</formula>
    </cfRule>
    <cfRule type="cellIs" dxfId="190" priority="198" stopIfTrue="1" operator="lessThan">
      <formula>1.5</formula>
    </cfRule>
    <cfRule type="cellIs" dxfId="189" priority="199" stopIfTrue="1" operator="lessThan">
      <formula>2.5</formula>
    </cfRule>
    <cfRule type="cellIs" dxfId="188"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90" t="s">
        <v>800</v>
      </c>
      <c r="E5" s="91" t="s">
        <v>801</v>
      </c>
      <c r="F5" s="92" t="s">
        <v>802</v>
      </c>
    </row>
    <row r="6" spans="1:81" ht="94.2" customHeight="1" x14ac:dyDescent="0.7">
      <c r="A6" s="122">
        <f t="shared" ref="A6:A11" si="0">ROW()-5</f>
        <v>1</v>
      </c>
      <c r="B6" s="76" t="s">
        <v>1581</v>
      </c>
      <c r="C6" s="148">
        <v>45786.67019675926</v>
      </c>
      <c r="D6" s="87"/>
      <c r="E6" s="87"/>
      <c r="F6" s="87"/>
    </row>
    <row r="7" spans="1:81" ht="54.6" customHeight="1" x14ac:dyDescent="0.7">
      <c r="A7" s="122">
        <f t="shared" si="0"/>
        <v>2</v>
      </c>
      <c r="B7" s="76" t="s">
        <v>1582</v>
      </c>
      <c r="C7" s="148">
        <v>45786.67019675926</v>
      </c>
      <c r="D7" s="87"/>
      <c r="E7" s="87"/>
      <c r="F7" s="87"/>
    </row>
    <row r="8" spans="1:81" ht="67.95" customHeight="1" x14ac:dyDescent="0.7">
      <c r="A8" s="122">
        <f t="shared" si="0"/>
        <v>3</v>
      </c>
      <c r="B8" s="76" t="s">
        <v>1583</v>
      </c>
      <c r="C8" s="148">
        <v>45786.67019675926</v>
      </c>
      <c r="D8" s="87"/>
      <c r="E8" s="87"/>
      <c r="F8" s="87"/>
    </row>
    <row r="9" spans="1:81" ht="41.55" customHeight="1" x14ac:dyDescent="0.7">
      <c r="A9" s="122">
        <f t="shared" si="0"/>
        <v>4</v>
      </c>
      <c r="B9" s="76" t="s">
        <v>1584</v>
      </c>
      <c r="C9" s="148">
        <v>45786.67019675926</v>
      </c>
      <c r="D9" s="87"/>
      <c r="E9" s="87"/>
      <c r="F9" s="87"/>
    </row>
    <row r="10" spans="1:81" ht="41.55" customHeight="1" x14ac:dyDescent="0.7">
      <c r="A10" s="122">
        <f t="shared" si="0"/>
        <v>5</v>
      </c>
      <c r="B10" s="76" t="s">
        <v>1585</v>
      </c>
      <c r="C10" s="148">
        <v>45786.67019675926</v>
      </c>
      <c r="D10" s="87"/>
      <c r="E10" s="87"/>
      <c r="F10" s="87"/>
    </row>
    <row r="11" spans="1:81" ht="54.6" customHeight="1" x14ac:dyDescent="0.7">
      <c r="A11" s="120">
        <f t="shared" si="0"/>
        <v>6</v>
      </c>
      <c r="B11" s="76" t="s">
        <v>1586</v>
      </c>
      <c r="C11" s="148">
        <v>45786.67019675926</v>
      </c>
      <c r="D11" s="87"/>
      <c r="E11" s="87"/>
      <c r="F11" s="87"/>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m+aqT7A0kFAtXbFsIT99MbXIC+eA26gq/3NS26YBYWFO0oyuoVlH+AIowB62GmhChdwwY2JMTNhuEvL40DiY4w==" saltValue="ldqWm2K4hfu4DQFOf/o/3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69140625" defaultRowHeight="40.049999999999997" customHeight="1" x14ac:dyDescent="0.7"/>
  <cols>
    <col min="1" max="1" width="5.69140625" style="41" customWidth="1"/>
    <col min="2" max="2" width="16.4609375" style="77" hidden="1" customWidth="1"/>
    <col min="3" max="3" width="66.69140625" style="82" customWidth="1"/>
    <col min="4" max="4" width="10.69140625" style="83" customWidth="1"/>
    <col min="5" max="5" width="20.61328125" style="82" hidden="1" customWidth="1"/>
    <col min="6" max="6" width="5.69140625" style="77" customWidth="1"/>
    <col min="7" max="7" width="5.61328125" style="83" customWidth="1"/>
    <col min="8" max="81" width="8.69140625" style="77"/>
    <col min="82" max="16384" width="8.69140625" style="41"/>
  </cols>
  <sheetData>
    <row r="1" spans="1:7" s="12" customFormat="1" ht="21" customHeight="1" x14ac:dyDescent="0.7">
      <c r="C1" s="20"/>
      <c r="D1" s="18"/>
      <c r="E1" s="20"/>
      <c r="G1" s="18"/>
    </row>
    <row r="2" spans="1:7" s="12" customFormat="1" ht="21" customHeight="1" x14ac:dyDescent="0.7">
      <c r="A2" s="7" t="s">
        <v>4</v>
      </c>
      <c r="B2" s="7"/>
      <c r="C2" s="42"/>
      <c r="D2" s="24"/>
      <c r="E2" s="42"/>
      <c r="G2" s="18"/>
    </row>
    <row r="3" spans="1:7" s="12" customFormat="1" ht="21" customHeight="1" x14ac:dyDescent="0.7">
      <c r="A3" s="93" t="str" cm="1">
        <f t="array" aca="1" ref="A3" ca="1">MID(CELL("filename",A1),FIND("]",CELL("filename",A1))+1,256)</f>
        <v>AddDataPoint(I&amp;T)</v>
      </c>
      <c r="B3" s="8"/>
      <c r="C3" s="42"/>
      <c r="D3" s="24"/>
      <c r="E3" s="42"/>
      <c r="G3" s="20"/>
    </row>
    <row r="4" spans="1:7" s="12" customFormat="1" ht="4.95" customHeight="1" x14ac:dyDescent="0.7">
      <c r="A4" s="10"/>
      <c r="B4" s="10"/>
      <c r="C4" s="42"/>
      <c r="D4" s="24"/>
      <c r="E4" s="42"/>
      <c r="G4" s="18"/>
    </row>
    <row r="5" spans="1:7" s="85" customFormat="1" ht="43.05" customHeight="1" x14ac:dyDescent="0.7">
      <c r="A5" s="71" t="s">
        <v>5</v>
      </c>
      <c r="B5" s="71" t="s">
        <v>813</v>
      </c>
      <c r="C5" s="71" t="s">
        <v>814</v>
      </c>
      <c r="D5" s="71" t="s">
        <v>760</v>
      </c>
      <c r="E5" s="73" t="s">
        <v>815</v>
      </c>
    </row>
    <row r="6" spans="1:7" ht="28.8" customHeight="1" x14ac:dyDescent="0.7">
      <c r="A6" s="120">
        <f>IF($C6="","",SUBTOTAL(3,$C$6:$C6)*1)</f>
        <v>1</v>
      </c>
      <c r="B6" s="251"/>
      <c r="C6" s="238" t="s">
        <v>1530</v>
      </c>
      <c r="D6" s="157">
        <v>50</v>
      </c>
      <c r="E6" s="239" t="s">
        <v>839</v>
      </c>
    </row>
    <row r="7" spans="1:7" ht="28.8" customHeight="1" x14ac:dyDescent="0.7">
      <c r="A7" s="120">
        <f>IF($C7="","",SUBTOTAL(3,$C$6:$C7)*1)</f>
        <v>2</v>
      </c>
      <c r="B7" s="251"/>
      <c r="C7" s="238" t="s">
        <v>1587</v>
      </c>
      <c r="D7" s="157">
        <v>1</v>
      </c>
      <c r="E7" s="239" t="s">
        <v>839</v>
      </c>
    </row>
    <row r="8" spans="1:7" ht="28.8" customHeight="1" x14ac:dyDescent="0.7">
      <c r="A8" s="120">
        <f>IF($C8="","",SUBTOTAL(3,$C$6:$C8)*1)</f>
        <v>3</v>
      </c>
      <c r="B8" s="251"/>
      <c r="C8" s="238" t="s">
        <v>1588</v>
      </c>
      <c r="D8" s="157">
        <v>3</v>
      </c>
      <c r="E8" s="239" t="s">
        <v>839</v>
      </c>
    </row>
    <row r="9" spans="1:7" ht="28.8" customHeight="1" x14ac:dyDescent="0.7">
      <c r="A9" s="120">
        <f>IF($C9="","",SUBTOTAL(3,$C$6:$C9)*1)</f>
        <v>4</v>
      </c>
      <c r="B9" s="251"/>
      <c r="C9" s="238" t="s">
        <v>1589</v>
      </c>
      <c r="D9" s="157">
        <v>2</v>
      </c>
      <c r="E9" s="239" t="s">
        <v>839</v>
      </c>
    </row>
    <row r="10" spans="1:7" ht="28.8" customHeight="1" x14ac:dyDescent="0.7">
      <c r="A10" s="120">
        <f>IF($C10="","",SUBTOTAL(3,$C$6:$C10)*1)</f>
        <v>5</v>
      </c>
      <c r="B10" s="251"/>
      <c r="C10" s="238" t="s">
        <v>1590</v>
      </c>
      <c r="D10" s="157">
        <v>4</v>
      </c>
      <c r="E10" s="239" t="s">
        <v>839</v>
      </c>
    </row>
    <row r="11" spans="1:7" ht="28.8" customHeight="1" x14ac:dyDescent="0.7">
      <c r="A11" s="120">
        <f>IF($C11="","",SUBTOTAL(3,$C$6:$C11)*1)</f>
        <v>6</v>
      </c>
      <c r="B11" s="251"/>
      <c r="C11" s="238" t="s">
        <v>1591</v>
      </c>
      <c r="D11" s="157">
        <v>2</v>
      </c>
      <c r="E11" s="239" t="s">
        <v>839</v>
      </c>
    </row>
    <row r="12" spans="1:7" ht="28.8" customHeight="1" x14ac:dyDescent="0.7">
      <c r="A12" s="120">
        <f>IF($C12="","",SUBTOTAL(3,$C$6:$C12)*1)</f>
        <v>7</v>
      </c>
      <c r="B12" s="251"/>
      <c r="C12" s="238" t="s">
        <v>1592</v>
      </c>
      <c r="D12" s="157">
        <v>0.6</v>
      </c>
      <c r="E12" s="239" t="s">
        <v>839</v>
      </c>
    </row>
    <row r="13" spans="1:7" ht="28.8" customHeight="1" x14ac:dyDescent="0.7">
      <c r="A13" s="120">
        <f>IF($C13="","",SUBTOTAL(3,$C$6:$C13)*1)</f>
        <v>8</v>
      </c>
      <c r="B13" s="251"/>
      <c r="C13" s="238" t="s">
        <v>1593</v>
      </c>
      <c r="D13" s="157">
        <v>70</v>
      </c>
      <c r="E13" s="239" t="s">
        <v>839</v>
      </c>
    </row>
    <row r="14" spans="1:7" ht="28.8" customHeight="1" x14ac:dyDescent="0.7">
      <c r="A14" s="120">
        <f>IF($C14="","",SUBTOTAL(3,$C$6:$C14)*1)</f>
        <v>9</v>
      </c>
      <c r="B14" s="251"/>
      <c r="C14" s="238" t="s">
        <v>1594</v>
      </c>
      <c r="D14" s="157">
        <v>10</v>
      </c>
      <c r="E14" s="239" t="s">
        <v>905</v>
      </c>
    </row>
    <row r="15" spans="1:7" ht="28.8" customHeight="1" x14ac:dyDescent="0.7">
      <c r="A15" s="120">
        <f>IF($C15="","",SUBTOTAL(3,$C$6:$C15)*1)</f>
        <v>10</v>
      </c>
      <c r="B15" s="251"/>
      <c r="C15" s="238" t="s">
        <v>1595</v>
      </c>
      <c r="D15" s="157">
        <v>2</v>
      </c>
      <c r="E15" s="239" t="s">
        <v>839</v>
      </c>
    </row>
    <row r="16" spans="1:7" ht="28.8" customHeight="1" x14ac:dyDescent="0.7">
      <c r="A16" s="120">
        <f>IF($C16="","",SUBTOTAL(3,$C$6:$C16)*1)</f>
        <v>11</v>
      </c>
      <c r="B16" s="251"/>
      <c r="C16" s="238" t="s">
        <v>1596</v>
      </c>
      <c r="D16" s="157">
        <v>2</v>
      </c>
      <c r="E16" s="239" t="s">
        <v>839</v>
      </c>
    </row>
    <row r="17" spans="1:5" ht="28.8" customHeight="1" x14ac:dyDescent="0.7">
      <c r="A17" s="120">
        <f>IF($C17="","",SUBTOTAL(3,$C$6:$C17)*1)</f>
        <v>12</v>
      </c>
      <c r="B17" s="251"/>
      <c r="C17" s="238" t="s">
        <v>1597</v>
      </c>
      <c r="D17" s="157">
        <v>3</v>
      </c>
      <c r="E17" s="239" t="s">
        <v>839</v>
      </c>
    </row>
    <row r="18" spans="1:5" ht="28.8" customHeight="1" x14ac:dyDescent="0.7">
      <c r="A18" s="120">
        <f>IF($C18="","",SUBTOTAL(3,$C$6:$C18)*1)</f>
        <v>13</v>
      </c>
      <c r="B18" s="251"/>
      <c r="C18" s="238" t="s">
        <v>1598</v>
      </c>
      <c r="D18" s="157">
        <v>1</v>
      </c>
      <c r="E18" s="239" t="s">
        <v>839</v>
      </c>
    </row>
    <row r="19" spans="1:5" ht="28.8" customHeight="1" x14ac:dyDescent="0.7">
      <c r="A19" s="120">
        <f>IF($C19="","",SUBTOTAL(3,$C$6:$C19)*1)</f>
        <v>14</v>
      </c>
      <c r="B19" s="251"/>
      <c r="C19" s="238" t="s">
        <v>1599</v>
      </c>
      <c r="D19" s="157">
        <v>0.5</v>
      </c>
      <c r="E19" s="239" t="s">
        <v>839</v>
      </c>
    </row>
    <row r="20" spans="1:5" ht="13.95" customHeight="1" x14ac:dyDescent="0.7"/>
    <row r="21" spans="1:5" ht="13.95" customHeight="1" x14ac:dyDescent="0.7"/>
    <row r="22" spans="1:5" ht="13.95" customHeight="1" x14ac:dyDescent="0.7"/>
    <row r="23" spans="1:5" ht="13.95" customHeight="1" x14ac:dyDescent="0.7"/>
    <row r="24" spans="1:5" ht="13.95" customHeight="1" x14ac:dyDescent="0.7"/>
    <row r="25" spans="1:5" ht="13.95" customHeight="1" x14ac:dyDescent="0.7"/>
    <row r="26" spans="1:5" ht="13.95" customHeight="1" x14ac:dyDescent="0.7"/>
    <row r="27" spans="1:5" ht="13.95" customHeight="1" x14ac:dyDescent="0.7"/>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eNTz1GCZREy/nGgPx8wkGFSFVKwzmV1pxpiXH7mHVxiIVYY0AUqAkQ2R8jshjfAA0XIQ3UM1YH5ZzbI1yWPkpw==" saltValue="ZQkW5xria2Fyf3oWqHCPl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F7" activePane="bottomRight" state="frozen"/>
      <selection pane="topRight" activeCell="D23" sqref="D23"/>
      <selection pane="bottomLeft" activeCell="D23" sqref="D23"/>
      <selection pane="bottomRight" activeCell="D14" sqref="D14"/>
    </sheetView>
  </sheetViews>
  <sheetFormatPr defaultColWidth="9.15234375" defaultRowHeight="20.399999999999999" x14ac:dyDescent="0.7"/>
  <cols>
    <col min="1" max="1" width="33.69140625" style="13" customWidth="1"/>
    <col min="2" max="2" width="33.69140625" style="61" customWidth="1"/>
    <col min="3" max="3" width="20.69140625" style="60" customWidth="1"/>
    <col min="4" max="4" width="12.69140625" style="142" customWidth="1"/>
    <col min="5" max="5" width="30.69140625" style="61" customWidth="1"/>
    <col min="6" max="6" width="12.69140625" style="142" customWidth="1"/>
    <col min="7" max="7" width="30.69140625" style="61" customWidth="1"/>
    <col min="8" max="8" width="12.69140625" style="142" customWidth="1"/>
    <col min="9" max="9" width="7.61328125" style="217" hidden="1" customWidth="1"/>
    <col min="10" max="81" width="9.15234375" style="207"/>
    <col min="82" max="16384" width="9.15234375" style="53"/>
  </cols>
  <sheetData>
    <row r="1" spans="1:81" ht="21" customHeight="1" x14ac:dyDescent="0.7">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7">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7">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5" customHeight="1" x14ac:dyDescent="0.7">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2" customHeight="1" x14ac:dyDescent="0.7">
      <c r="A5" s="30" t="s">
        <v>691</v>
      </c>
      <c r="B5" s="30" t="s">
        <v>692</v>
      </c>
      <c r="C5" s="30" t="s">
        <v>693</v>
      </c>
      <c r="D5" s="57" t="s">
        <v>694</v>
      </c>
      <c r="E5" s="33" t="s">
        <v>695</v>
      </c>
      <c r="F5" s="58" t="s">
        <v>696</v>
      </c>
      <c r="G5" s="33" t="s">
        <v>697</v>
      </c>
      <c r="H5" s="58" t="s">
        <v>698</v>
      </c>
      <c r="I5" s="56" t="s">
        <v>699</v>
      </c>
    </row>
    <row r="6" spans="1:81" ht="42.6" customHeight="1" x14ac:dyDescent="0.7">
      <c r="A6" s="187" t="s">
        <v>1600</v>
      </c>
      <c r="B6" s="218" t="s">
        <v>1601</v>
      </c>
      <c r="C6" s="161" t="s">
        <v>1602</v>
      </c>
      <c r="D6" s="141"/>
      <c r="E6" s="62"/>
      <c r="F6" s="222"/>
      <c r="G6" s="62"/>
      <c r="H6" s="222"/>
      <c r="I6" s="220" t="s">
        <v>1603</v>
      </c>
    </row>
    <row r="7" spans="1:81" ht="56.55" customHeight="1" x14ac:dyDescent="0.7">
      <c r="A7" s="187" t="s">
        <v>1604</v>
      </c>
      <c r="B7" s="218" t="s">
        <v>1605</v>
      </c>
      <c r="C7" s="161" t="s">
        <v>1606</v>
      </c>
      <c r="D7" s="141"/>
      <c r="E7" s="62"/>
      <c r="F7" s="222"/>
      <c r="G7" s="62"/>
      <c r="H7" s="222"/>
      <c r="I7" s="220" t="s">
        <v>1607</v>
      </c>
    </row>
    <row r="8" spans="1:81" ht="42.6" customHeight="1" x14ac:dyDescent="0.7">
      <c r="A8" s="187" t="s">
        <v>1608</v>
      </c>
      <c r="B8" s="218" t="s">
        <v>1609</v>
      </c>
      <c r="C8" s="161" t="s">
        <v>1610</v>
      </c>
      <c r="D8" s="141"/>
      <c r="E8" s="62"/>
      <c r="F8" s="222"/>
      <c r="G8" s="62"/>
      <c r="H8" s="222"/>
      <c r="I8" s="220" t="s">
        <v>1611</v>
      </c>
    </row>
    <row r="9" spans="1:81" ht="28.95" customHeight="1" x14ac:dyDescent="0.7">
      <c r="A9" s="187" t="s">
        <v>1612</v>
      </c>
      <c r="B9" s="218" t="s">
        <v>1613</v>
      </c>
      <c r="C9" s="161" t="s">
        <v>1602</v>
      </c>
      <c r="D9" s="141"/>
      <c r="E9" s="62"/>
      <c r="F9" s="222"/>
      <c r="G9" s="62"/>
      <c r="H9" s="222"/>
      <c r="I9" s="220" t="s">
        <v>1614</v>
      </c>
    </row>
    <row r="10" spans="1:81" ht="42.6" customHeight="1" x14ac:dyDescent="0.7">
      <c r="A10" s="356" t="s">
        <v>1615</v>
      </c>
      <c r="B10" s="218" t="s">
        <v>1616</v>
      </c>
      <c r="C10" s="161">
        <v>20</v>
      </c>
      <c r="D10" s="141"/>
      <c r="E10" s="62"/>
      <c r="F10" s="222"/>
      <c r="G10" s="62"/>
      <c r="H10" s="222"/>
      <c r="I10" s="337" t="s">
        <v>1617</v>
      </c>
    </row>
    <row r="11" spans="1:81" ht="42.6" customHeight="1" x14ac:dyDescent="0.7">
      <c r="A11" s="357"/>
      <c r="B11" s="218" t="s">
        <v>1618</v>
      </c>
      <c r="C11" s="161">
        <v>16</v>
      </c>
      <c r="D11" s="141"/>
      <c r="E11" s="62"/>
      <c r="F11" s="222"/>
      <c r="G11" s="62"/>
      <c r="H11" s="222"/>
      <c r="I11" s="337"/>
    </row>
    <row r="12" spans="1:81" ht="42.6" customHeight="1" x14ac:dyDescent="0.7">
      <c r="A12" s="187" t="s">
        <v>1619</v>
      </c>
      <c r="B12" s="218"/>
      <c r="C12" s="161" t="s">
        <v>1620</v>
      </c>
      <c r="D12" s="141"/>
      <c r="E12" s="62"/>
      <c r="F12" s="222"/>
      <c r="G12" s="62"/>
      <c r="H12" s="222"/>
      <c r="I12" s="220" t="s">
        <v>1621</v>
      </c>
    </row>
    <row r="13" spans="1:81" ht="42.6" customHeight="1" x14ac:dyDescent="0.7">
      <c r="A13" s="187" t="s">
        <v>1622</v>
      </c>
      <c r="B13" s="218" t="s">
        <v>1623</v>
      </c>
      <c r="C13" s="161" t="s">
        <v>1624</v>
      </c>
      <c r="D13" s="141"/>
      <c r="E13" s="62"/>
      <c r="F13" s="222"/>
      <c r="G13" s="62"/>
      <c r="H13" s="222"/>
      <c r="I13" s="220" t="s">
        <v>1625</v>
      </c>
    </row>
    <row r="14" spans="1:81" ht="56.55" customHeight="1" x14ac:dyDescent="0.7">
      <c r="A14" s="187" t="s">
        <v>1626</v>
      </c>
      <c r="B14" s="218" t="s">
        <v>1627</v>
      </c>
      <c r="C14" s="161" t="s">
        <v>1624</v>
      </c>
      <c r="D14" s="141"/>
      <c r="E14" s="62"/>
      <c r="F14" s="222"/>
      <c r="G14" s="62"/>
      <c r="H14" s="222"/>
      <c r="I14" s="220" t="s">
        <v>1628</v>
      </c>
    </row>
    <row r="15" spans="1:81" ht="56.55" customHeight="1" x14ac:dyDescent="0.7">
      <c r="A15" s="187" t="s">
        <v>1629</v>
      </c>
      <c r="B15" s="218" t="s">
        <v>1630</v>
      </c>
      <c r="C15" s="161" t="s">
        <v>1631</v>
      </c>
      <c r="D15" s="141"/>
      <c r="E15" s="62"/>
      <c r="F15" s="222"/>
      <c r="G15" s="62"/>
      <c r="H15" s="222"/>
      <c r="I15" s="220" t="s">
        <v>1632</v>
      </c>
    </row>
    <row r="16" spans="1:81" ht="56.55" customHeight="1" x14ac:dyDescent="0.7">
      <c r="A16" s="187" t="s">
        <v>1633</v>
      </c>
      <c r="B16" s="218" t="s">
        <v>1634</v>
      </c>
      <c r="C16" s="161" t="s">
        <v>1610</v>
      </c>
      <c r="D16" s="141"/>
      <c r="E16" s="62"/>
      <c r="F16" s="222"/>
      <c r="G16" s="62"/>
      <c r="H16" s="222"/>
      <c r="I16" s="220" t="s">
        <v>1635</v>
      </c>
    </row>
    <row r="17" spans="1:9" ht="42.6" customHeight="1" x14ac:dyDescent="0.7">
      <c r="A17" s="187" t="s">
        <v>1636</v>
      </c>
      <c r="B17" s="218" t="s">
        <v>1637</v>
      </c>
      <c r="C17" s="161" t="s">
        <v>1610</v>
      </c>
      <c r="D17" s="141"/>
      <c r="E17" s="62"/>
      <c r="F17" s="222"/>
      <c r="G17" s="62"/>
      <c r="H17" s="222"/>
      <c r="I17" s="220" t="s">
        <v>1638</v>
      </c>
    </row>
    <row r="18" spans="1:9" ht="13.95" customHeight="1" x14ac:dyDescent="0.7"/>
    <row r="19" spans="1:9" ht="13.95" customHeight="1" x14ac:dyDescent="0.7"/>
    <row r="20" spans="1:9" ht="13.95" customHeight="1" x14ac:dyDescent="0.7"/>
    <row r="21" spans="1:9" ht="13.95" customHeight="1" x14ac:dyDescent="0.7"/>
    <row r="22" spans="1:9" ht="13.95" customHeight="1" x14ac:dyDescent="0.7"/>
    <row r="23" spans="1:9" ht="13.95" customHeight="1" x14ac:dyDescent="0.7"/>
    <row r="24" spans="1:9" ht="13.95" customHeight="1" x14ac:dyDescent="0.7"/>
    <row r="25" spans="1:9" ht="13.95" customHeight="1" x14ac:dyDescent="0.7"/>
    <row r="26" spans="1:9" ht="13.95" customHeight="1" x14ac:dyDescent="0.7"/>
    <row r="27" spans="1:9" ht="13.95" customHeight="1" x14ac:dyDescent="0.7"/>
    <row r="28" spans="1:9" ht="13.95" customHeight="1" x14ac:dyDescent="0.7"/>
    <row r="29" spans="1:9" ht="13.95" customHeight="1" x14ac:dyDescent="0.7"/>
    <row r="30" spans="1:9" ht="13.95" customHeight="1" x14ac:dyDescent="0.7"/>
    <row r="31" spans="1:9" ht="13.95" customHeight="1" x14ac:dyDescent="0.7"/>
    <row r="32" spans="1:9"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algorithmName="SHA-512" hashValue="OnuAWMatLK5m4af36nxwOKfDg9LqCGxAuIeCNDTwCaqb7aWqSFY0rjGRNhR0Fdz05ucfmrx2xnyCIifPl0ElNA==" saltValue="uv2CjTXQpkq9CxbCnuzCYw=="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zoomScaleNormal="100" workbookViewId="0">
      <pane xSplit="6" ySplit="5" topLeftCell="L6" activePane="bottomRight" state="frozen"/>
      <selection pane="topRight" activeCell="D23" sqref="D23"/>
      <selection pane="bottomLeft" activeCell="D23" sqref="D23"/>
      <selection pane="bottomRight" activeCell="A2" sqref="A2"/>
    </sheetView>
  </sheetViews>
  <sheetFormatPr defaultColWidth="9.15234375" defaultRowHeight="20.399999999999999" x14ac:dyDescent="0.7"/>
  <cols>
    <col min="1" max="1" width="33.69140625" style="3" customWidth="1"/>
    <col min="2" max="2" width="11.15234375" style="233" hidden="1" customWidth="1"/>
    <col min="3" max="3" width="7.69140625" style="215" customWidth="1"/>
    <col min="4" max="4" width="11.69140625" style="249" customWidth="1"/>
    <col min="5" max="5" width="7.69140625" style="249" customWidth="1"/>
    <col min="6" max="6" width="11.69140625" style="224" customWidth="1"/>
    <col min="7" max="7" width="33.69140625" style="236" customWidth="1"/>
    <col min="8" max="8" width="8.69140625" style="247" customWidth="1"/>
    <col min="9" max="9" width="12.69140625" style="247" customWidth="1"/>
    <col min="10" max="10" width="11.69140625" style="247" customWidth="1"/>
    <col min="11" max="11" width="30.69140625" style="67" customWidth="1"/>
    <col min="12" max="13" width="12.69140625" style="249" customWidth="1"/>
    <col min="14" max="14" width="12.69140625" style="224" customWidth="1"/>
    <col min="15" max="15" width="20.69140625" style="67" customWidth="1"/>
    <col min="16" max="16" width="10.69140625" style="249" customWidth="1"/>
    <col min="17" max="17" width="8.69140625" style="249" customWidth="1"/>
    <col min="18" max="18" width="20.69140625" style="67" customWidth="1"/>
    <col min="19" max="81" width="9.15234375" style="223"/>
    <col min="82" max="16384" width="9.15234375" style="1"/>
  </cols>
  <sheetData>
    <row r="1" spans="1:81" ht="21" customHeight="1" x14ac:dyDescent="0.7">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7">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7">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5" customHeight="1" x14ac:dyDescent="0.7">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2" customHeight="1" x14ac:dyDescent="0.7">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0.2" customHeight="1" x14ac:dyDescent="0.7">
      <c r="A6" s="187" t="s">
        <v>1600</v>
      </c>
      <c r="B6" s="220" t="s">
        <v>1601</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1603</v>
      </c>
      <c r="H6" s="228" t="s">
        <v>724</v>
      </c>
      <c r="I6" s="228" t="s">
        <v>1602</v>
      </c>
      <c r="J6" s="228" t="s">
        <v>739</v>
      </c>
      <c r="K6" s="229"/>
      <c r="L6" s="352" t="s">
        <v>1639</v>
      </c>
      <c r="M6" s="350">
        <f>($F$6*$E$6+$F$7*$E$7+$F$8*$E$8)</f>
        <v>2.2999999999999998</v>
      </c>
      <c r="N6" s="351">
        <v>0.2</v>
      </c>
      <c r="O6" s="342"/>
      <c r="P6" s="343" t="s">
        <v>1640</v>
      </c>
      <c r="Q6" s="341">
        <f>($N$6*$M$6+$N$9*$M$9+$N$13*$M$13+$N$15*$M$15)</f>
        <v>2.57</v>
      </c>
      <c r="R6" s="342"/>
    </row>
    <row r="7" spans="1:81" ht="84" customHeight="1" x14ac:dyDescent="0.7">
      <c r="A7" s="187" t="s">
        <v>1604</v>
      </c>
      <c r="B7" s="220" t="s">
        <v>1605</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1607</v>
      </c>
      <c r="H7" s="228" t="s">
        <v>1606</v>
      </c>
      <c r="I7" s="228" t="s">
        <v>1641</v>
      </c>
      <c r="J7" s="228" t="s">
        <v>1642</v>
      </c>
      <c r="K7" s="229"/>
      <c r="L7" s="352"/>
      <c r="M7" s="350"/>
      <c r="N7" s="351"/>
      <c r="O7" s="342"/>
      <c r="P7" s="343"/>
      <c r="Q7" s="341"/>
      <c r="R7" s="342"/>
    </row>
    <row r="8" spans="1:81" ht="56.55" customHeight="1" x14ac:dyDescent="0.7">
      <c r="A8" s="187" t="s">
        <v>1608</v>
      </c>
      <c r="B8" s="220" t="s">
        <v>1609</v>
      </c>
      <c r="C8" s="228" t="str">
        <f>'DevCoAssessmentInput(S&amp;O)'!$C$8</f>
        <v>Moderate</v>
      </c>
      <c r="D8" s="226" t="str">
        <f>_xlfn.IFS($C$8="Minor","Good",$C$8="Moderate","Satisfactory",$C$8="Severe","Needs Improvement")</f>
        <v>Satisfactory</v>
      </c>
      <c r="E8" s="227">
        <f>_xlfn.IFS($D$8="Good", 3, $D$8="Satisfactory", 2, $D$8="Needs Improvement", 1)</f>
        <v>2</v>
      </c>
      <c r="F8" s="228">
        <v>0.4</v>
      </c>
      <c r="G8" s="218" t="s">
        <v>1611</v>
      </c>
      <c r="H8" s="228" t="s">
        <v>1624</v>
      </c>
      <c r="I8" s="228" t="s">
        <v>1610</v>
      </c>
      <c r="J8" s="228" t="s">
        <v>1643</v>
      </c>
      <c r="K8" s="229"/>
      <c r="L8" s="352"/>
      <c r="M8" s="350"/>
      <c r="N8" s="351"/>
      <c r="O8" s="342"/>
      <c r="P8" s="343"/>
      <c r="Q8" s="341"/>
      <c r="R8" s="342"/>
    </row>
    <row r="9" spans="1:81" ht="70.2" customHeight="1" x14ac:dyDescent="0.7">
      <c r="A9" s="187" t="s">
        <v>1612</v>
      </c>
      <c r="B9" s="220" t="s">
        <v>1613</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1614</v>
      </c>
      <c r="H9" s="228" t="s">
        <v>724</v>
      </c>
      <c r="I9" s="228" t="s">
        <v>1602</v>
      </c>
      <c r="J9" s="228" t="s">
        <v>739</v>
      </c>
      <c r="K9" s="229"/>
      <c r="L9" s="352" t="s">
        <v>1644</v>
      </c>
      <c r="M9" s="350">
        <f>($F$9*$E$9+$F$10*$E$10+$F$12*$E$12)</f>
        <v>2.6000000000000005</v>
      </c>
      <c r="N9" s="351">
        <v>0.2</v>
      </c>
      <c r="O9" s="342"/>
      <c r="P9" s="343"/>
      <c r="Q9" s="341"/>
      <c r="R9" s="342"/>
    </row>
    <row r="10" spans="1:81" ht="42.6" customHeight="1" x14ac:dyDescent="0.7">
      <c r="A10" s="356" t="s">
        <v>1615</v>
      </c>
      <c r="B10" s="220" t="s">
        <v>1616</v>
      </c>
      <c r="C10" s="344">
        <f>'DevCoAssessmentInput(S&amp;O)'!$C$11/'DevCoAssessmentInput(S&amp;O)'!$C$10</f>
        <v>0.8</v>
      </c>
      <c r="D10" s="345" t="str">
        <f>_xlfn.IFS($C$10&gt;0.75,"Good",$C$10&gt;=0.5,"Satisfactory",$C$10&lt;0.5,"Needs Improvement")</f>
        <v>Good</v>
      </c>
      <c r="E10" s="346">
        <f>_xlfn.IFS($D$10="Good", 3, $D$10="Satisfactory", 2, $D$10="Needs Improvement", 1)</f>
        <v>3</v>
      </c>
      <c r="F10" s="344">
        <v>0.2</v>
      </c>
      <c r="G10" s="354" t="s">
        <v>1617</v>
      </c>
      <c r="H10" s="344" t="s">
        <v>1574</v>
      </c>
      <c r="I10" s="344" t="s">
        <v>1645</v>
      </c>
      <c r="J10" s="344" t="s">
        <v>784</v>
      </c>
      <c r="K10" s="342"/>
      <c r="L10" s="352"/>
      <c r="M10" s="350"/>
      <c r="N10" s="351"/>
      <c r="O10" s="342"/>
      <c r="P10" s="343"/>
      <c r="Q10" s="341"/>
      <c r="R10" s="342"/>
    </row>
    <row r="11" spans="1:81" ht="13.95" hidden="1" customHeight="1" x14ac:dyDescent="0.7">
      <c r="A11" s="357"/>
      <c r="B11" s="220" t="s">
        <v>1618</v>
      </c>
      <c r="C11" s="344"/>
      <c r="D11" s="345"/>
      <c r="E11" s="346"/>
      <c r="F11" s="344"/>
      <c r="G11" s="355"/>
      <c r="H11" s="344"/>
      <c r="I11" s="344"/>
      <c r="J11" s="344"/>
      <c r="K11" s="342"/>
      <c r="L11" s="352"/>
      <c r="M11" s="350"/>
      <c r="N11" s="351"/>
      <c r="O11" s="342"/>
      <c r="P11" s="343"/>
      <c r="Q11" s="341"/>
      <c r="R11" s="342"/>
    </row>
    <row r="12" spans="1:81" ht="111.6" customHeight="1" x14ac:dyDescent="0.7">
      <c r="A12" s="187" t="s">
        <v>1619</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1621</v>
      </c>
      <c r="H12" s="228" t="s">
        <v>1620</v>
      </c>
      <c r="I12" s="228" t="s">
        <v>1646</v>
      </c>
      <c r="J12" s="228" t="s">
        <v>1647</v>
      </c>
      <c r="K12" s="229"/>
      <c r="L12" s="352"/>
      <c r="M12" s="350"/>
      <c r="N12" s="351"/>
      <c r="O12" s="342"/>
      <c r="P12" s="343"/>
      <c r="Q12" s="341"/>
      <c r="R12" s="342"/>
    </row>
    <row r="13" spans="1:81" ht="125.55" customHeight="1" x14ac:dyDescent="0.7">
      <c r="A13" s="187" t="s">
        <v>1622</v>
      </c>
      <c r="B13" s="220" t="s">
        <v>1623</v>
      </c>
      <c r="C13" s="228" t="str">
        <f>'DevCoAssessmentInput(S&amp;O)'!$C$13</f>
        <v>Minor</v>
      </c>
      <c r="D13" s="226" t="str">
        <f>_xlfn.IFS($C$13="Minor","Good",$C$13="Moderate","Satisfactory",$C$13="Severe","Needs Improvement")</f>
        <v>Good</v>
      </c>
      <c r="E13" s="227">
        <f>_xlfn.IFS($D$13="Good", 3, $D$13="Satisfactory", 2, $D$13="Needs Improvement", 1)</f>
        <v>3</v>
      </c>
      <c r="F13" s="228">
        <v>0.6</v>
      </c>
      <c r="G13" s="218" t="s">
        <v>1625</v>
      </c>
      <c r="H13" s="228" t="s">
        <v>1624</v>
      </c>
      <c r="I13" s="228" t="s">
        <v>1610</v>
      </c>
      <c r="J13" s="228" t="s">
        <v>1643</v>
      </c>
      <c r="K13" s="229"/>
      <c r="L13" s="352" t="s">
        <v>1648</v>
      </c>
      <c r="M13" s="350">
        <f>($F$13*$E$13+$F$14*$E$14)</f>
        <v>3</v>
      </c>
      <c r="N13" s="351">
        <v>0.3</v>
      </c>
      <c r="O13" s="342"/>
      <c r="P13" s="343"/>
      <c r="Q13" s="341"/>
      <c r="R13" s="342"/>
    </row>
    <row r="14" spans="1:81" ht="56.55" customHeight="1" x14ac:dyDescent="0.7">
      <c r="A14" s="187" t="s">
        <v>1626</v>
      </c>
      <c r="B14" s="220" t="s">
        <v>1627</v>
      </c>
      <c r="C14" s="228" t="str">
        <f>'DevCoAssessmentInput(S&amp;O)'!$C$14</f>
        <v>Minor</v>
      </c>
      <c r="D14" s="226" t="str">
        <f>_xlfn.IFS($C$14="Minor","Good",$C$14="Moderate","Satisfactory",$C$14="Severe","Needs Improvement")</f>
        <v>Good</v>
      </c>
      <c r="E14" s="227">
        <f>_xlfn.IFS($D$14="Good", 3, $D$14="Satisfactory", 2, $D$14="Needs Improvement", 1)</f>
        <v>3</v>
      </c>
      <c r="F14" s="228">
        <v>0.4</v>
      </c>
      <c r="G14" s="218" t="s">
        <v>1628</v>
      </c>
      <c r="H14" s="228" t="s">
        <v>1606</v>
      </c>
      <c r="I14" s="228" t="s">
        <v>1641</v>
      </c>
      <c r="J14" s="228" t="s">
        <v>1642</v>
      </c>
      <c r="K14" s="229"/>
      <c r="L14" s="352"/>
      <c r="M14" s="350"/>
      <c r="N14" s="351"/>
      <c r="O14" s="342"/>
      <c r="P14" s="343"/>
      <c r="Q14" s="341"/>
      <c r="R14" s="342"/>
    </row>
    <row r="15" spans="1:81" ht="139.19999999999999" customHeight="1" x14ac:dyDescent="0.7">
      <c r="A15" s="187" t="s">
        <v>1629</v>
      </c>
      <c r="B15" s="220" t="s">
        <v>1630</v>
      </c>
      <c r="C15" s="228" t="str">
        <f>'DevCoAssessmentInput(S&amp;O)'!$C$15</f>
        <v>Strong</v>
      </c>
      <c r="D15" s="226" t="str">
        <f>_xlfn.IFS($C$15="Strong","Good",$C$15="Moderate","Satisfactory",$C$15="Poor","Needs Improvement")</f>
        <v>Good</v>
      </c>
      <c r="E15" s="227">
        <f>_xlfn.IFS($D$15="Good", 3, $D$15="Satisfactory", 2, $D$15="Needs Improvement", 1)</f>
        <v>3</v>
      </c>
      <c r="F15" s="228">
        <v>0.3</v>
      </c>
      <c r="G15" s="218" t="s">
        <v>1632</v>
      </c>
      <c r="H15" s="228" t="s">
        <v>1631</v>
      </c>
      <c r="I15" s="228" t="s">
        <v>1610</v>
      </c>
      <c r="J15" s="228" t="s">
        <v>1286</v>
      </c>
      <c r="K15" s="229"/>
      <c r="L15" s="352" t="s">
        <v>1649</v>
      </c>
      <c r="M15" s="350">
        <f>($F$15*$E$15+$F$16*$E$16+$F$17*$E$17)</f>
        <v>2.2999999999999998</v>
      </c>
      <c r="N15" s="351">
        <v>0.3</v>
      </c>
      <c r="O15" s="342"/>
      <c r="P15" s="343"/>
      <c r="Q15" s="341"/>
      <c r="R15" s="342"/>
    </row>
    <row r="16" spans="1:81" ht="139.19999999999999" customHeight="1" x14ac:dyDescent="0.7">
      <c r="A16" s="187" t="s">
        <v>1633</v>
      </c>
      <c r="B16" s="220" t="s">
        <v>1634</v>
      </c>
      <c r="C16" s="228" t="str">
        <f>'DevCoAssessmentInput(S&amp;O)'!$C$16</f>
        <v>Moderate</v>
      </c>
      <c r="D16" s="226" t="str">
        <f>_xlfn.IFS($C$16="Strong","Good",$C$16="Moderate","Satisfactory",$C$16="Poor","Needs Improvement")</f>
        <v>Satisfactory</v>
      </c>
      <c r="E16" s="227">
        <f>_xlfn.IFS($D$16="Good", 3, $D$16="Satisfactory", 2, $D$16="Needs Improvement", 1)</f>
        <v>2</v>
      </c>
      <c r="F16" s="228">
        <v>0.4</v>
      </c>
      <c r="G16" s="218" t="s">
        <v>1635</v>
      </c>
      <c r="H16" s="228" t="s">
        <v>1631</v>
      </c>
      <c r="I16" s="228" t="s">
        <v>1610</v>
      </c>
      <c r="J16" s="228" t="s">
        <v>1286</v>
      </c>
      <c r="K16" s="229"/>
      <c r="L16" s="352"/>
      <c r="M16" s="350"/>
      <c r="N16" s="351"/>
      <c r="O16" s="342"/>
      <c r="P16" s="343"/>
      <c r="Q16" s="341"/>
      <c r="R16" s="342"/>
    </row>
    <row r="17" spans="1:18" ht="125.55" customHeight="1" x14ac:dyDescent="0.7">
      <c r="A17" s="187" t="s">
        <v>1636</v>
      </c>
      <c r="B17" s="220" t="s">
        <v>1637</v>
      </c>
      <c r="C17" s="228" t="str">
        <f>'DevCoAssessmentInput(S&amp;O)'!$C$17</f>
        <v>Moderate</v>
      </c>
      <c r="D17" s="226" t="str">
        <f>_xlfn.IFS($C$17="Strong","Good",$C$17="Moderate","Satisfactory",$C$17="Poor","Needs Improvement")</f>
        <v>Satisfactory</v>
      </c>
      <c r="E17" s="227">
        <f>_xlfn.IFS($D$17="Good", 3, $D$17="Satisfactory", 2, $D$17="Needs Improvement", 1)</f>
        <v>2</v>
      </c>
      <c r="F17" s="228">
        <v>0.3</v>
      </c>
      <c r="G17" s="218" t="s">
        <v>1638</v>
      </c>
      <c r="H17" s="228" t="s">
        <v>1631</v>
      </c>
      <c r="I17" s="228" t="s">
        <v>1610</v>
      </c>
      <c r="J17" s="228" t="s">
        <v>1286</v>
      </c>
      <c r="K17" s="229"/>
      <c r="L17" s="352"/>
      <c r="M17" s="350"/>
      <c r="N17" s="351"/>
      <c r="O17" s="342"/>
      <c r="P17" s="343"/>
      <c r="Q17" s="341"/>
      <c r="R17" s="342"/>
    </row>
    <row r="18" spans="1:18" ht="13.95" customHeight="1" x14ac:dyDescent="0.7"/>
    <row r="19" spans="1:18" ht="13.95" customHeight="1" x14ac:dyDescent="0.7"/>
    <row r="20" spans="1:18" ht="13.95" customHeight="1" x14ac:dyDescent="0.7"/>
    <row r="21" spans="1:18" ht="13.95" customHeight="1" x14ac:dyDescent="0.7"/>
    <row r="22" spans="1:18" ht="13.95" customHeight="1" x14ac:dyDescent="0.7"/>
    <row r="23" spans="1:18" ht="13.95" customHeight="1" x14ac:dyDescent="0.7"/>
    <row r="24" spans="1:18" ht="13.95" customHeight="1" x14ac:dyDescent="0.7"/>
    <row r="25" spans="1:18" ht="13.95" customHeight="1" x14ac:dyDescent="0.7"/>
    <row r="26" spans="1:18" ht="13.95" customHeight="1" x14ac:dyDescent="0.7"/>
    <row r="27" spans="1:18" ht="13.95" customHeight="1" x14ac:dyDescent="0.7"/>
    <row r="28" spans="1:18" ht="13.95" customHeight="1" x14ac:dyDescent="0.7"/>
    <row r="29" spans="1:18" ht="13.95" customHeight="1" x14ac:dyDescent="0.7"/>
    <row r="30" spans="1:18" ht="13.95" customHeight="1" x14ac:dyDescent="0.7"/>
    <row r="31" spans="1:18" ht="13.95" customHeight="1" x14ac:dyDescent="0.7"/>
    <row r="32" spans="1:18"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sheetData>
  <sheetProtection sort="0" autoFilter="0" pivotTables="0"/>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169" priority="133" stopIfTrue="1" operator="equal">
      <formula>0</formula>
    </cfRule>
    <cfRule type="cellIs" dxfId="168" priority="134" stopIfTrue="1" operator="lessThan">
      <formula>1.5</formula>
    </cfRule>
    <cfRule type="cellIs" dxfId="167" priority="135" stopIfTrue="1" operator="lessThan">
      <formula>2.5</formula>
    </cfRule>
    <cfRule type="cellIs" dxfId="166" priority="136" stopIfTrue="1" operator="greaterThanOrEqual">
      <formula>2.5</formula>
    </cfRule>
  </conditionalFormatting>
  <conditionalFormatting sqref="E6:E17">
    <cfRule type="cellIs" dxfId="165" priority="137" stopIfTrue="1" operator="equal">
      <formula>0</formula>
    </cfRule>
    <cfRule type="cellIs" dxfId="164" priority="138" stopIfTrue="1" operator="lessThan">
      <formula>1.5</formula>
    </cfRule>
    <cfRule type="cellIs" dxfId="163" priority="139" stopIfTrue="1" operator="lessThan">
      <formula>2.5</formula>
    </cfRule>
    <cfRule type="cellIs" dxfId="162" priority="140" stopIfTrue="1" operator="greaterThanOrEqual">
      <formula>2.5</formula>
    </cfRule>
  </conditionalFormatting>
  <conditionalFormatting sqref="M6:M17">
    <cfRule type="cellIs" dxfId="161" priority="141" stopIfTrue="1" operator="equal">
      <formula>0</formula>
    </cfRule>
    <cfRule type="cellIs" dxfId="160" priority="142" stopIfTrue="1" operator="lessThan">
      <formula>1.5</formula>
    </cfRule>
    <cfRule type="cellIs" dxfId="159" priority="143" stopIfTrue="1" operator="lessThan">
      <formula>2.5</formula>
    </cfRule>
    <cfRule type="cellIs" dxfId="158" priority="144" stopIfTrue="1" operator="greaterThanOrEqual">
      <formula>2.5</formula>
    </cfRule>
  </conditionalFormatting>
  <conditionalFormatting sqref="Q6:Q17">
    <cfRule type="cellIs" dxfId="157" priority="145" stopIfTrue="1" operator="equal">
      <formula>0</formula>
    </cfRule>
    <cfRule type="cellIs" dxfId="156" priority="146" stopIfTrue="1" operator="lessThan">
      <formula>1.5</formula>
    </cfRule>
    <cfRule type="cellIs" dxfId="155" priority="147" stopIfTrue="1" operator="lessThan">
      <formula>2.5</formula>
    </cfRule>
    <cfRule type="cellIs" dxfId="154"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69140625" defaultRowHeight="21" x14ac:dyDescent="0.7"/>
  <cols>
    <col min="1" max="1" width="5.69140625" style="41" customWidth="1"/>
    <col min="2" max="2" width="33.69140625" style="82" customWidth="1"/>
    <col min="3" max="3" width="9.69140625" style="151" customWidth="1"/>
    <col min="4" max="4" width="44.69140625" style="77" customWidth="1"/>
    <col min="5" max="6" width="33.69140625" style="77" customWidth="1"/>
    <col min="7" max="81" width="8.69140625" style="74"/>
    <col min="82" max="16384" width="8.69140625" style="12"/>
  </cols>
  <sheetData>
    <row r="1" spans="1:81" ht="21" customHeight="1" x14ac:dyDescent="0.7">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7">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7">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5" customHeight="1" x14ac:dyDescent="0.7">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2" customHeight="1" x14ac:dyDescent="0.7">
      <c r="A5" s="88" t="s">
        <v>5</v>
      </c>
      <c r="B5" s="88" t="s">
        <v>798</v>
      </c>
      <c r="C5" s="89" t="s">
        <v>1032</v>
      </c>
      <c r="D5" s="88" t="s">
        <v>800</v>
      </c>
      <c r="E5" s="88" t="s">
        <v>801</v>
      </c>
      <c r="F5" s="88" t="s">
        <v>802</v>
      </c>
    </row>
    <row r="6" spans="1:81" ht="54.6" customHeight="1" x14ac:dyDescent="0.7">
      <c r="A6" s="122">
        <f t="shared" ref="A6:A12" si="0">ROW()-5</f>
        <v>1</v>
      </c>
      <c r="B6" s="76" t="s">
        <v>1650</v>
      </c>
      <c r="C6" s="148">
        <v>45779.714999999997</v>
      </c>
      <c r="D6" s="76"/>
      <c r="E6" s="76"/>
      <c r="F6" s="75"/>
    </row>
    <row r="7" spans="1:81" ht="54.6" customHeight="1" x14ac:dyDescent="0.7">
      <c r="A7" s="122">
        <f t="shared" si="0"/>
        <v>2</v>
      </c>
      <c r="B7" s="76" t="s">
        <v>1651</v>
      </c>
      <c r="C7" s="148">
        <v>45779.714999999997</v>
      </c>
      <c r="D7" s="76"/>
      <c r="E7" s="76"/>
      <c r="F7" s="75"/>
    </row>
    <row r="8" spans="1:81" ht="54.6" customHeight="1" x14ac:dyDescent="0.7">
      <c r="A8" s="122">
        <f t="shared" si="0"/>
        <v>3</v>
      </c>
      <c r="B8" s="76" t="s">
        <v>1652</v>
      </c>
      <c r="C8" s="148">
        <v>45779</v>
      </c>
      <c r="D8" s="76"/>
      <c r="E8" s="76"/>
      <c r="F8" s="75"/>
    </row>
    <row r="9" spans="1:81" ht="67.95" customHeight="1" x14ac:dyDescent="0.7">
      <c r="A9" s="122">
        <f t="shared" si="0"/>
        <v>4</v>
      </c>
      <c r="B9" s="76" t="s">
        <v>1653</v>
      </c>
      <c r="C9" s="148">
        <v>45779</v>
      </c>
      <c r="D9" s="76"/>
      <c r="E9" s="76"/>
      <c r="F9" s="75"/>
    </row>
    <row r="10" spans="1:81" ht="41.55" customHeight="1" x14ac:dyDescent="0.7">
      <c r="A10" s="122">
        <f t="shared" si="0"/>
        <v>5</v>
      </c>
      <c r="B10" s="76" t="s">
        <v>1654</v>
      </c>
      <c r="C10" s="148">
        <v>45779</v>
      </c>
      <c r="D10" s="76"/>
      <c r="E10" s="76"/>
      <c r="F10" s="75"/>
    </row>
    <row r="11" spans="1:81" ht="41.55" customHeight="1" x14ac:dyDescent="0.7">
      <c r="A11" s="120">
        <f t="shared" si="0"/>
        <v>6</v>
      </c>
      <c r="B11" s="76" t="s">
        <v>1655</v>
      </c>
      <c r="C11" s="148">
        <v>45779</v>
      </c>
      <c r="D11" s="76"/>
      <c r="E11" s="76"/>
      <c r="F11" s="75"/>
    </row>
    <row r="12" spans="1:81" ht="41.55" customHeight="1" x14ac:dyDescent="0.7">
      <c r="A12" s="120">
        <f t="shared" si="0"/>
        <v>7</v>
      </c>
      <c r="B12" s="75" t="s">
        <v>1656</v>
      </c>
      <c r="C12" s="149">
        <v>45779</v>
      </c>
      <c r="D12" s="75"/>
      <c r="E12" s="75"/>
      <c r="F12" s="75"/>
    </row>
    <row r="13" spans="1:81" ht="21" customHeight="1" x14ac:dyDescent="0.7"/>
    <row r="14" spans="1:81" ht="21" customHeight="1" x14ac:dyDescent="0.7"/>
    <row r="15" spans="1:81" ht="21" customHeight="1" x14ac:dyDescent="0.7"/>
    <row r="16" spans="1:81" ht="13.95" customHeight="1" x14ac:dyDescent="0.7"/>
    <row r="17" ht="13.95" customHeight="1" x14ac:dyDescent="0.7"/>
    <row r="18" ht="13.95" customHeight="1" x14ac:dyDescent="0.7"/>
    <row r="19" ht="13.95" customHeight="1" x14ac:dyDescent="0.7"/>
    <row r="20" ht="13.95" customHeight="1" x14ac:dyDescent="0.7"/>
    <row r="21" ht="13.95" customHeight="1" x14ac:dyDescent="0.7"/>
    <row r="22" ht="13.95" customHeight="1" x14ac:dyDescent="0.7"/>
    <row r="23" ht="13.95" customHeight="1" x14ac:dyDescent="0.7"/>
    <row r="24" ht="13.95" customHeight="1" x14ac:dyDescent="0.7"/>
    <row r="25" ht="13.95" customHeight="1" x14ac:dyDescent="0.7"/>
    <row r="26" ht="13.95" customHeight="1" x14ac:dyDescent="0.7"/>
    <row r="27" ht="13.95" customHeight="1" x14ac:dyDescent="0.7"/>
    <row r="28" ht="13.95" customHeight="1" x14ac:dyDescent="0.7"/>
    <row r="29" ht="13.95" customHeight="1" x14ac:dyDescent="0.7"/>
    <row r="30" ht="13.95" customHeight="1" x14ac:dyDescent="0.7"/>
    <row r="31" ht="13.95" customHeight="1" x14ac:dyDescent="0.7"/>
    <row r="32"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8unAhmGqnjuCobLwgVfQMQ/lvFGJKrXujfzixjc8xjpPUHG2qdzHoqlyauG2Vd35oGl4ctSifQQiJjQoRO835w==" saltValue="bcoO0dmWzQbnxiJONnBSt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showRowColHeaders="0" zoomScaleNormal="100" workbookViewId="0">
      <pane xSplit="2" ySplit="5" topLeftCell="D6" activePane="bottomRight" state="frozen"/>
      <selection pane="topRight" activeCell="D23" sqref="D23"/>
      <selection pane="bottomLeft" activeCell="D23" sqref="D23"/>
      <selection pane="bottomRight" activeCell="G5" sqref="G5"/>
    </sheetView>
  </sheetViews>
  <sheetFormatPr defaultColWidth="8.69140625" defaultRowHeight="40.049999999999997" customHeight="1" x14ac:dyDescent="0.7"/>
  <cols>
    <col min="1" max="1" width="5.69140625" style="85" customWidth="1"/>
    <col min="2" max="2" width="31.4609375" style="77" hidden="1" customWidth="1"/>
    <col min="3" max="3" width="66.69140625" style="82" customWidth="1"/>
    <col min="4" max="4" width="10.69140625" style="83" customWidth="1"/>
    <col min="5" max="5" width="20.61328125" style="82" hidden="1" customWidth="1"/>
    <col min="6" max="6" width="5.69140625" style="77" customWidth="1"/>
    <col min="7" max="7" width="40.15234375" style="85" bestFit="1" customWidth="1"/>
    <col min="8" max="8" width="12.4609375" style="41" bestFit="1" customWidth="1"/>
    <col min="9" max="9" width="8.69140625" style="41"/>
    <col min="10" max="10" width="17.3828125" style="77" customWidth="1"/>
    <col min="11" max="13" width="8.69140625" style="77"/>
    <col min="14" max="14" width="19.15234375" style="77" customWidth="1"/>
    <col min="15" max="52" width="8.69140625" style="77"/>
    <col min="53" max="16384" width="8.69140625" style="41"/>
  </cols>
  <sheetData>
    <row r="1" spans="1:16336" s="12" customFormat="1" ht="21" customHeight="1" x14ac:dyDescent="0.7">
      <c r="A1" s="18"/>
      <c r="C1" s="20"/>
      <c r="D1" s="18"/>
      <c r="E1" s="20"/>
      <c r="G1" s="18"/>
      <c r="H1" s="74"/>
      <c r="I1" s="74"/>
    </row>
    <row r="2" spans="1:16336" s="20" customFormat="1" ht="21" customHeight="1" x14ac:dyDescent="0.7">
      <c r="A2" s="21" t="s">
        <v>4</v>
      </c>
      <c r="B2" s="21"/>
      <c r="C2" s="42"/>
      <c r="D2" s="24"/>
      <c r="E2" s="42"/>
      <c r="G2" s="18"/>
      <c r="H2" s="313"/>
      <c r="I2" s="313"/>
    </row>
    <row r="3" spans="1:16336" s="20" customFormat="1" ht="21" customHeight="1" x14ac:dyDescent="0.7">
      <c r="A3" s="94" t="str" cm="1">
        <f t="array" aca="1" ref="A3" ca="1">MID(CELL("filename",A1),FIND("]",CELL("filename",A1))+1,256)</f>
        <v>AddDataPoint(S&amp;O)</v>
      </c>
      <c r="B3" s="22"/>
      <c r="C3" s="42"/>
      <c r="D3" s="24"/>
      <c r="E3" s="42"/>
      <c r="G3" s="94" t="s">
        <v>1657</v>
      </c>
      <c r="H3" s="94"/>
      <c r="J3" s="94" t="s">
        <v>1658</v>
      </c>
      <c r="K3" s="94"/>
      <c r="L3" s="94"/>
      <c r="N3" s="94" t="s">
        <v>1659</v>
      </c>
      <c r="O3" s="94"/>
      <c r="P3" s="94"/>
      <c r="R3" s="94" t="s">
        <v>1798</v>
      </c>
      <c r="S3" s="94"/>
    </row>
    <row r="4" spans="1:16336" s="12" customFormat="1" ht="4.95" customHeight="1" x14ac:dyDescent="0.7">
      <c r="A4" s="24"/>
      <c r="B4" s="10"/>
      <c r="C4" s="42"/>
      <c r="D4" s="24"/>
      <c r="E4" s="42"/>
      <c r="G4" s="18"/>
      <c r="H4" s="18"/>
      <c r="I4" s="18"/>
      <c r="J4" s="18"/>
      <c r="K4" s="18"/>
      <c r="L4" s="18"/>
      <c r="M4" s="18"/>
      <c r="N4" s="18"/>
      <c r="O4" s="18"/>
      <c r="P4" s="18"/>
      <c r="R4" s="18"/>
      <c r="S4" s="18"/>
    </row>
    <row r="5" spans="1:16336" s="155" customFormat="1" ht="43.05" customHeight="1" thickBot="1" x14ac:dyDescent="0.75">
      <c r="A5" s="71" t="s">
        <v>5</v>
      </c>
      <c r="B5" s="71" t="s">
        <v>813</v>
      </c>
      <c r="C5" s="71" t="s">
        <v>814</v>
      </c>
      <c r="D5" s="71" t="s">
        <v>760</v>
      </c>
      <c r="E5" s="73" t="s">
        <v>815</v>
      </c>
      <c r="F5" s="85"/>
      <c r="G5" s="314" t="s">
        <v>1660</v>
      </c>
      <c r="H5" s="315" t="s">
        <v>1661</v>
      </c>
      <c r="I5" s="85"/>
      <c r="J5" s="314" t="s">
        <v>1662</v>
      </c>
      <c r="K5" s="190" t="s">
        <v>1663</v>
      </c>
      <c r="L5" s="190" t="s">
        <v>1664</v>
      </c>
      <c r="M5" s="85"/>
      <c r="N5" s="314" t="s">
        <v>1665</v>
      </c>
      <c r="O5" s="190" t="s">
        <v>1663</v>
      </c>
      <c r="P5" s="190" t="s">
        <v>1664</v>
      </c>
      <c r="Q5" s="85"/>
      <c r="R5" s="316" t="s">
        <v>1806</v>
      </c>
      <c r="S5" s="317" t="s">
        <v>1807</v>
      </c>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41.4" customHeight="1" x14ac:dyDescent="0.7">
      <c r="A6" s="155">
        <f>IF($C6="","",SUBTOTAL(3,$C$6:$C6)*1)</f>
        <v>1</v>
      </c>
      <c r="B6" s="257"/>
      <c r="C6" s="287" t="s">
        <v>1666</v>
      </c>
      <c r="D6" s="156">
        <v>3</v>
      </c>
      <c r="E6" s="239" t="s">
        <v>905</v>
      </c>
      <c r="G6" s="244" t="s">
        <v>1667</v>
      </c>
      <c r="H6" s="245" t="s">
        <v>1668</v>
      </c>
      <c r="I6" s="83"/>
      <c r="J6" s="240" t="s">
        <v>1669</v>
      </c>
      <c r="K6" s="241" t="s">
        <v>1670</v>
      </c>
      <c r="L6" s="188" t="s">
        <v>1671</v>
      </c>
      <c r="M6" s="83"/>
      <c r="N6" s="240" t="s">
        <v>1672</v>
      </c>
      <c r="O6" s="241" t="s">
        <v>1670</v>
      </c>
      <c r="P6" s="188" t="s">
        <v>1671</v>
      </c>
      <c r="R6" s="318" t="s">
        <v>1799</v>
      </c>
      <c r="S6" s="319" t="s">
        <v>1800</v>
      </c>
    </row>
    <row r="7" spans="1:16336" ht="41.4" customHeight="1" x14ac:dyDescent="0.7">
      <c r="A7" s="155">
        <f>IF($C7="","",SUBTOTAL(3,$C$6:$C7)*1)</f>
        <v>2</v>
      </c>
      <c r="B7" s="257"/>
      <c r="C7" s="287" t="s">
        <v>1673</v>
      </c>
      <c r="D7" s="156">
        <v>3</v>
      </c>
      <c r="E7" s="239" t="s">
        <v>905</v>
      </c>
      <c r="G7" s="240" t="s">
        <v>1674</v>
      </c>
      <c r="H7" s="246" t="s">
        <v>1675</v>
      </c>
      <c r="I7" s="83"/>
      <c r="J7" s="240"/>
      <c r="K7" s="241"/>
      <c r="L7" s="188"/>
      <c r="M7" s="83"/>
      <c r="N7" s="240"/>
      <c r="O7" s="241"/>
      <c r="P7" s="188"/>
      <c r="R7" s="320" t="s">
        <v>1801</v>
      </c>
      <c r="S7" s="321" t="s">
        <v>1800</v>
      </c>
    </row>
    <row r="8" spans="1:16336" ht="28.8" customHeight="1" x14ac:dyDescent="0.7">
      <c r="A8" s="155">
        <f>IF($C8="","",SUBTOTAL(3,$C$6:$C8)*1)</f>
        <v>3</v>
      </c>
      <c r="B8" s="257"/>
      <c r="C8" s="287" t="s">
        <v>1676</v>
      </c>
      <c r="D8" s="156">
        <v>3</v>
      </c>
      <c r="E8" s="239" t="s">
        <v>905</v>
      </c>
      <c r="G8" s="244"/>
      <c r="H8" s="245"/>
      <c r="I8" s="83"/>
      <c r="J8" s="240"/>
      <c r="K8" s="241"/>
      <c r="L8" s="188"/>
      <c r="M8" s="83"/>
      <c r="N8" s="240"/>
      <c r="O8" s="241"/>
      <c r="P8" s="188"/>
      <c r="R8" s="318" t="s">
        <v>1802</v>
      </c>
      <c r="S8" s="319" t="s">
        <v>897</v>
      </c>
    </row>
    <row r="9" spans="1:16336" ht="28.8" customHeight="1" x14ac:dyDescent="0.7">
      <c r="A9" s="155">
        <f>IF($C9="","",SUBTOTAL(3,$C$6:$C9)*1)</f>
        <v>4</v>
      </c>
      <c r="B9" s="257"/>
      <c r="C9" s="287" t="s">
        <v>1677</v>
      </c>
      <c r="D9" s="156">
        <v>3</v>
      </c>
      <c r="E9" s="239" t="s">
        <v>905</v>
      </c>
      <c r="G9" s="240"/>
      <c r="H9" s="246"/>
      <c r="I9" s="83"/>
      <c r="J9" s="240"/>
      <c r="K9" s="241"/>
      <c r="L9" s="188"/>
      <c r="M9" s="83"/>
      <c r="N9" s="240"/>
      <c r="O9" s="241"/>
      <c r="P9" s="188"/>
      <c r="R9" s="320" t="s">
        <v>1803</v>
      </c>
      <c r="S9" s="321" t="s">
        <v>1371</v>
      </c>
    </row>
    <row r="10" spans="1:16336" ht="28.8" customHeight="1" x14ac:dyDescent="0.7">
      <c r="A10" s="155">
        <f>IF($C10="","",SUBTOTAL(3,$C$6:$C10)*1)</f>
        <v>5</v>
      </c>
      <c r="B10" s="257"/>
      <c r="C10" s="287" t="s">
        <v>1678</v>
      </c>
      <c r="D10" s="156">
        <v>2</v>
      </c>
      <c r="E10" s="239" t="s">
        <v>905</v>
      </c>
      <c r="G10" s="244"/>
      <c r="H10" s="245"/>
      <c r="I10" s="83"/>
      <c r="J10" s="240"/>
      <c r="K10" s="241"/>
      <c r="L10" s="188"/>
      <c r="M10" s="83"/>
      <c r="N10" s="240"/>
      <c r="O10" s="241"/>
      <c r="P10" s="188"/>
      <c r="R10" s="318" t="s">
        <v>1804</v>
      </c>
      <c r="S10" s="319" t="s">
        <v>1371</v>
      </c>
    </row>
    <row r="11" spans="1:16336" ht="28.8" customHeight="1" x14ac:dyDescent="0.7">
      <c r="A11" s="155">
        <f>IF($C11="","",SUBTOTAL(3,$C$6:$C11)*1)</f>
        <v>6</v>
      </c>
      <c r="B11" s="257"/>
      <c r="C11" s="287" t="s">
        <v>1679</v>
      </c>
      <c r="D11" s="156">
        <v>2</v>
      </c>
      <c r="E11" s="239" t="s">
        <v>905</v>
      </c>
      <c r="R11" s="322" t="s">
        <v>1805</v>
      </c>
      <c r="S11" s="323" t="s">
        <v>1370</v>
      </c>
    </row>
    <row r="12" spans="1:16336" ht="28.8" customHeight="1" x14ac:dyDescent="0.7">
      <c r="A12" s="155">
        <f>IF($C12="","",SUBTOTAL(3,$C$6:$C12)*1)</f>
        <v>7</v>
      </c>
      <c r="B12" s="257"/>
      <c r="C12" s="287" t="s">
        <v>1680</v>
      </c>
      <c r="D12" s="156">
        <v>3</v>
      </c>
      <c r="E12" s="239" t="s">
        <v>905</v>
      </c>
    </row>
    <row r="13" spans="1:16336" ht="28.8" customHeight="1" x14ac:dyDescent="0.7">
      <c r="A13" s="155">
        <f>IF($C13="","",SUBTOTAL(3,$C$6:$C13)*1)</f>
        <v>8</v>
      </c>
      <c r="B13" s="257"/>
      <c r="C13" s="287" t="s">
        <v>1681</v>
      </c>
      <c r="D13" s="156" t="s">
        <v>724</v>
      </c>
      <c r="E13" s="239" t="s">
        <v>905</v>
      </c>
    </row>
    <row r="14" spans="1:16336" ht="28.8" customHeight="1" x14ac:dyDescent="0.7">
      <c r="A14" s="155">
        <f>IF($C14="","",SUBTOTAL(3,$C$6:$C14)*1)</f>
        <v>9</v>
      </c>
      <c r="B14" s="257"/>
      <c r="C14" s="287" t="s">
        <v>1682</v>
      </c>
      <c r="D14" s="156" t="s">
        <v>724</v>
      </c>
      <c r="E14" s="239" t="s">
        <v>905</v>
      </c>
    </row>
    <row r="15" spans="1:16336" ht="28.8" customHeight="1" x14ac:dyDescent="0.7">
      <c r="A15" s="155">
        <f>IF($C15="","",SUBTOTAL(3,$C$6:$C15)*1)</f>
        <v>10</v>
      </c>
      <c r="B15" s="257"/>
      <c r="C15" s="287" t="s">
        <v>1683</v>
      </c>
      <c r="D15" s="156" t="s">
        <v>724</v>
      </c>
      <c r="E15" s="239" t="s">
        <v>905</v>
      </c>
    </row>
    <row r="16" spans="1:16336" ht="28.8" customHeight="1" x14ac:dyDescent="0.7">
      <c r="A16" s="155">
        <f>IF($C16="","",SUBTOTAL(3,$C$6:$C16)*1)</f>
        <v>11</v>
      </c>
      <c r="B16" s="257"/>
      <c r="C16" s="287" t="s">
        <v>1684</v>
      </c>
      <c r="D16" s="156" t="s">
        <v>739</v>
      </c>
      <c r="E16" s="239" t="s">
        <v>905</v>
      </c>
    </row>
    <row r="17" spans="1:5" ht="28.8" customHeight="1" x14ac:dyDescent="0.7">
      <c r="A17" s="155">
        <v>12</v>
      </c>
      <c r="B17" s="257"/>
      <c r="C17" s="287" t="s">
        <v>1685</v>
      </c>
      <c r="D17" s="156" t="s">
        <v>724</v>
      </c>
      <c r="E17" s="239" t="s">
        <v>905</v>
      </c>
    </row>
    <row r="18" spans="1:5" ht="28.8" customHeight="1" x14ac:dyDescent="0.7">
      <c r="A18" s="155">
        <f>IF($C18="","",SUBTOTAL(3,$C$6:$C18)*1)</f>
        <v>13</v>
      </c>
      <c r="B18" s="257"/>
      <c r="C18" s="287" t="s">
        <v>1686</v>
      </c>
      <c r="D18" s="156" t="s">
        <v>724</v>
      </c>
      <c r="E18" s="239"/>
    </row>
    <row r="19" spans="1:5" ht="28.8" customHeight="1" x14ac:dyDescent="0.7">
      <c r="A19" s="155">
        <f>IF($C19="","",SUBTOTAL(3,$C$6:$C19)*1)</f>
        <v>14</v>
      </c>
      <c r="B19" s="257"/>
      <c r="C19" s="287" t="s">
        <v>1687</v>
      </c>
      <c r="D19" s="156">
        <v>3</v>
      </c>
      <c r="E19" s="239"/>
    </row>
    <row r="20" spans="1:5" ht="28.8" customHeight="1" x14ac:dyDescent="0.7">
      <c r="A20" s="155">
        <f>IF($C20="","",SUBTOTAL(3,$C$6:$C20)*1)</f>
        <v>15</v>
      </c>
      <c r="B20" s="257"/>
      <c r="C20" s="287" t="s">
        <v>1688</v>
      </c>
      <c r="D20" s="156">
        <v>3</v>
      </c>
      <c r="E20" s="239"/>
    </row>
    <row r="21" spans="1:5" ht="28.8" customHeight="1" x14ac:dyDescent="0.7">
      <c r="A21" s="155">
        <f>IF($C21="","",SUBTOTAL(3,$C$6:$C21)*1)</f>
        <v>16</v>
      </c>
      <c r="B21" s="257"/>
      <c r="C21" s="288" t="s">
        <v>1689</v>
      </c>
      <c r="D21" s="156">
        <v>2</v>
      </c>
      <c r="E21" s="239"/>
    </row>
    <row r="22" spans="1:5" ht="28.8" customHeight="1" x14ac:dyDescent="0.7">
      <c r="A22" s="155">
        <f>IF($C22="","",SUBTOTAL(3,$C$6:$C22)*1)</f>
        <v>17</v>
      </c>
      <c r="B22" s="257"/>
      <c r="C22" s="288" t="s">
        <v>1690</v>
      </c>
      <c r="D22" s="156">
        <v>3</v>
      </c>
      <c r="E22" s="239"/>
    </row>
    <row r="23" spans="1:5" ht="28.8" customHeight="1" x14ac:dyDescent="0.7">
      <c r="A23" s="155">
        <f>IF($C23="","",SUBTOTAL(3,$C$6:$C27)*1)</f>
        <v>22</v>
      </c>
      <c r="B23" s="257"/>
      <c r="C23" s="288" t="s">
        <v>1691</v>
      </c>
      <c r="D23" s="156">
        <v>3</v>
      </c>
      <c r="E23" s="239"/>
    </row>
    <row r="24" spans="1:5" ht="28.8" customHeight="1" x14ac:dyDescent="0.7">
      <c r="A24" s="155">
        <v>19</v>
      </c>
      <c r="B24" s="257"/>
      <c r="C24" s="238" t="s">
        <v>1692</v>
      </c>
      <c r="D24" s="156">
        <v>500</v>
      </c>
      <c r="E24" s="239"/>
    </row>
    <row r="25" spans="1:5" ht="28.8" customHeight="1" x14ac:dyDescent="0.7">
      <c r="A25" s="155">
        <v>20</v>
      </c>
      <c r="B25" s="257"/>
      <c r="C25" s="238" t="s">
        <v>1693</v>
      </c>
      <c r="D25" s="156">
        <v>100</v>
      </c>
      <c r="E25" s="239"/>
    </row>
    <row r="26" spans="1:5" ht="28.8" customHeight="1" x14ac:dyDescent="0.7">
      <c r="A26" s="155">
        <v>21</v>
      </c>
      <c r="B26" s="257"/>
      <c r="C26" s="238" t="s">
        <v>1694</v>
      </c>
      <c r="D26" s="156">
        <v>50</v>
      </c>
      <c r="E26" s="239"/>
    </row>
    <row r="27" spans="1:5" ht="28.8" customHeight="1" x14ac:dyDescent="0.7">
      <c r="A27" s="155">
        <v>22</v>
      </c>
      <c r="B27" s="257"/>
      <c r="C27" s="238" t="s">
        <v>1695</v>
      </c>
      <c r="D27" s="156">
        <v>5</v>
      </c>
      <c r="E27" s="239"/>
    </row>
    <row r="28" spans="1:5" ht="13.95" customHeight="1" x14ac:dyDescent="0.7"/>
    <row r="29" spans="1:5" ht="13.95" customHeight="1" x14ac:dyDescent="0.7"/>
    <row r="30" spans="1:5" ht="13.95" customHeight="1" x14ac:dyDescent="0.7"/>
    <row r="31" spans="1:5" ht="13.95" customHeight="1" x14ac:dyDescent="0.7"/>
    <row r="32" spans="1:5" ht="13.95" customHeight="1" x14ac:dyDescent="0.7"/>
    <row r="33" ht="13.95" customHeight="1" x14ac:dyDescent="0.7"/>
    <row r="34" ht="13.95" customHeight="1" x14ac:dyDescent="0.7"/>
    <row r="35" ht="13.95" customHeight="1" x14ac:dyDescent="0.7"/>
    <row r="36" ht="13.95" customHeight="1" x14ac:dyDescent="0.7"/>
    <row r="37" ht="13.95" customHeight="1" x14ac:dyDescent="0.7"/>
    <row r="38" ht="13.95" customHeight="1" x14ac:dyDescent="0.7"/>
    <row r="39" ht="13.95" customHeight="1" x14ac:dyDescent="0.7"/>
    <row r="40" ht="13.95" customHeight="1" x14ac:dyDescent="0.7"/>
    <row r="41" ht="13.95" customHeight="1" x14ac:dyDescent="0.7"/>
    <row r="42" ht="13.95" customHeight="1" x14ac:dyDescent="0.7"/>
    <row r="43" ht="13.95" customHeight="1" x14ac:dyDescent="0.7"/>
    <row r="44" ht="13.95" customHeight="1" x14ac:dyDescent="0.7"/>
    <row r="45" ht="13.95" customHeight="1" x14ac:dyDescent="0.7"/>
    <row r="46" ht="13.95" customHeight="1" x14ac:dyDescent="0.7"/>
    <row r="47" ht="13.95" customHeight="1" x14ac:dyDescent="0.7"/>
    <row r="48" ht="13.95" customHeight="1" x14ac:dyDescent="0.7"/>
    <row r="49" ht="13.95" customHeight="1" x14ac:dyDescent="0.7"/>
    <row r="50" ht="13.95" customHeight="1" x14ac:dyDescent="0.7"/>
    <row r="51" ht="13.95" customHeight="1" x14ac:dyDescent="0.7"/>
    <row r="52" ht="13.95" customHeight="1" x14ac:dyDescent="0.7"/>
    <row r="53" ht="13.95" customHeight="1" x14ac:dyDescent="0.7"/>
    <row r="54" ht="13.95" customHeight="1" x14ac:dyDescent="0.7"/>
    <row r="55" ht="13.95" customHeight="1" x14ac:dyDescent="0.7"/>
    <row r="56" ht="13.95" customHeight="1" x14ac:dyDescent="0.7"/>
    <row r="57" ht="13.95" customHeight="1" x14ac:dyDescent="0.7"/>
    <row r="58" ht="13.95" customHeight="1" x14ac:dyDescent="0.7"/>
    <row r="59" ht="13.95" customHeight="1" x14ac:dyDescent="0.7"/>
    <row r="60" ht="13.95" customHeight="1" x14ac:dyDescent="0.7"/>
    <row r="61" ht="13.95" customHeight="1" x14ac:dyDescent="0.7"/>
    <row r="62" ht="13.95" customHeight="1" x14ac:dyDescent="0.7"/>
    <row r="63" ht="13.95" customHeight="1" x14ac:dyDescent="0.7"/>
    <row r="64" ht="13.95" customHeight="1" x14ac:dyDescent="0.7"/>
    <row r="65" ht="13.95" customHeight="1" x14ac:dyDescent="0.7"/>
    <row r="66" ht="13.95" customHeight="1" x14ac:dyDescent="0.7"/>
    <row r="67" ht="13.95" customHeight="1" x14ac:dyDescent="0.7"/>
    <row r="68" ht="13.95" customHeight="1" x14ac:dyDescent="0.7"/>
    <row r="69" ht="13.95" customHeight="1" x14ac:dyDescent="0.7"/>
    <row r="70" ht="13.95" customHeight="1" x14ac:dyDescent="0.7"/>
    <row r="71" ht="13.95" customHeight="1" x14ac:dyDescent="0.7"/>
    <row r="72" ht="13.95" customHeight="1" x14ac:dyDescent="0.7"/>
    <row r="73" ht="13.95" customHeight="1" x14ac:dyDescent="0.7"/>
    <row r="74" ht="13.95" customHeight="1" x14ac:dyDescent="0.7"/>
    <row r="75" ht="13.95" customHeight="1" x14ac:dyDescent="0.7"/>
    <row r="76" ht="13.95" customHeight="1" x14ac:dyDescent="0.7"/>
    <row r="77" ht="13.95" customHeight="1" x14ac:dyDescent="0.7"/>
    <row r="78" ht="13.95" customHeight="1" x14ac:dyDescent="0.7"/>
    <row r="79" ht="13.95" customHeight="1" x14ac:dyDescent="0.7"/>
    <row r="80" ht="13.95" customHeight="1" x14ac:dyDescent="0.7"/>
    <row r="81" ht="13.95" customHeight="1" x14ac:dyDescent="0.7"/>
    <row r="82" ht="13.95" customHeight="1" x14ac:dyDescent="0.7"/>
    <row r="83" ht="13.95" customHeight="1" x14ac:dyDescent="0.7"/>
    <row r="84" ht="13.95" customHeight="1" x14ac:dyDescent="0.7"/>
    <row r="85" ht="13.95" customHeight="1" x14ac:dyDescent="0.7"/>
    <row r="86" ht="13.95" customHeight="1" x14ac:dyDescent="0.7"/>
    <row r="87" ht="13.95" customHeight="1" x14ac:dyDescent="0.7"/>
    <row r="88" ht="13.95" customHeight="1" x14ac:dyDescent="0.7"/>
    <row r="89" ht="13.95" customHeight="1" x14ac:dyDescent="0.7"/>
    <row r="90" ht="13.95" customHeight="1" x14ac:dyDescent="0.7"/>
    <row r="91" ht="13.95" customHeight="1" x14ac:dyDescent="0.7"/>
    <row r="92" ht="13.95" customHeight="1" x14ac:dyDescent="0.7"/>
    <row r="93" ht="13.95" customHeight="1" x14ac:dyDescent="0.7"/>
    <row r="94" ht="13.95" customHeight="1" x14ac:dyDescent="0.7"/>
    <row r="95" ht="13.95" customHeight="1" x14ac:dyDescent="0.7"/>
    <row r="96" ht="13.95" customHeight="1" x14ac:dyDescent="0.7"/>
    <row r="97" ht="13.95" customHeight="1" x14ac:dyDescent="0.7"/>
    <row r="98" ht="13.95" customHeight="1" x14ac:dyDescent="0.7"/>
    <row r="99" ht="13.95" customHeight="1" x14ac:dyDescent="0.7"/>
    <row r="100" ht="13.95" customHeight="1" x14ac:dyDescent="0.7"/>
    <row r="101" ht="13.95" customHeight="1" x14ac:dyDescent="0.7"/>
    <row r="102" ht="13.95" customHeight="1" x14ac:dyDescent="0.7"/>
    <row r="103" ht="13.95" customHeight="1" x14ac:dyDescent="0.7"/>
    <row r="104" ht="13.95" customHeight="1" x14ac:dyDescent="0.7"/>
    <row r="105" ht="13.95" customHeight="1" x14ac:dyDescent="0.7"/>
    <row r="106" ht="13.95" customHeight="1" x14ac:dyDescent="0.7"/>
    <row r="107" ht="13.95" customHeight="1" x14ac:dyDescent="0.7"/>
    <row r="108" ht="13.95" customHeight="1" x14ac:dyDescent="0.7"/>
    <row r="109" ht="13.95" customHeight="1" x14ac:dyDescent="0.7"/>
    <row r="110" ht="13.95" customHeight="1" x14ac:dyDescent="0.7"/>
    <row r="111" ht="13.95" customHeight="1" x14ac:dyDescent="0.7"/>
    <row r="112" ht="13.95" customHeight="1" x14ac:dyDescent="0.7"/>
    <row r="113" ht="13.95" customHeight="1" x14ac:dyDescent="0.7"/>
    <row r="114" ht="13.95" customHeight="1" x14ac:dyDescent="0.7"/>
    <row r="115" ht="13.95" customHeight="1" x14ac:dyDescent="0.7"/>
    <row r="116" ht="13.95" customHeight="1" x14ac:dyDescent="0.7"/>
    <row r="117" ht="13.95" customHeight="1" x14ac:dyDescent="0.7"/>
    <row r="118" ht="13.95" customHeight="1" x14ac:dyDescent="0.7"/>
    <row r="119" ht="13.95" customHeight="1" x14ac:dyDescent="0.7"/>
    <row r="120" ht="13.95" customHeight="1" x14ac:dyDescent="0.7"/>
    <row r="121" ht="13.95" customHeight="1" x14ac:dyDescent="0.7"/>
    <row r="122" ht="13.95" customHeight="1" x14ac:dyDescent="0.7"/>
    <row r="123" ht="13.95" customHeight="1" x14ac:dyDescent="0.7"/>
    <row r="124" ht="13.95" customHeight="1" x14ac:dyDescent="0.7"/>
    <row r="125" ht="13.95" customHeight="1" x14ac:dyDescent="0.7"/>
    <row r="126" ht="13.95" customHeight="1" x14ac:dyDescent="0.7"/>
    <row r="127" ht="13.95" customHeight="1" x14ac:dyDescent="0.7"/>
    <row r="128" ht="13.95" customHeight="1" x14ac:dyDescent="0.7"/>
    <row r="129" ht="13.95" customHeight="1" x14ac:dyDescent="0.7"/>
    <row r="130" ht="13.95" customHeight="1" x14ac:dyDescent="0.7"/>
    <row r="131" ht="13.95" customHeight="1" x14ac:dyDescent="0.7"/>
    <row r="132" ht="13.95" customHeight="1" x14ac:dyDescent="0.7"/>
    <row r="133" ht="13.95" customHeight="1" x14ac:dyDescent="0.7"/>
    <row r="134" ht="13.95" customHeight="1" x14ac:dyDescent="0.7"/>
    <row r="135" ht="13.95" customHeight="1" x14ac:dyDescent="0.7"/>
    <row r="136" ht="13.95" customHeight="1" x14ac:dyDescent="0.7"/>
    <row r="137" ht="13.95" customHeight="1" x14ac:dyDescent="0.7"/>
    <row r="138" ht="13.95" customHeight="1" x14ac:dyDescent="0.7"/>
    <row r="139" ht="13.95" customHeight="1" x14ac:dyDescent="0.7"/>
    <row r="140" ht="13.95" customHeight="1" x14ac:dyDescent="0.7"/>
    <row r="141" ht="13.95" customHeight="1" x14ac:dyDescent="0.7"/>
    <row r="142" ht="13.95" customHeight="1" x14ac:dyDescent="0.7"/>
    <row r="143" ht="13.95" customHeight="1" x14ac:dyDescent="0.7"/>
    <row r="144" ht="13.95" customHeight="1" x14ac:dyDescent="0.7"/>
    <row r="145" ht="13.95" customHeight="1" x14ac:dyDescent="0.7"/>
    <row r="146" ht="13.95" customHeight="1" x14ac:dyDescent="0.7"/>
    <row r="147" ht="13.95" customHeight="1" x14ac:dyDescent="0.7"/>
    <row r="148" ht="13.95" customHeight="1" x14ac:dyDescent="0.7"/>
    <row r="149" ht="13.95" customHeight="1" x14ac:dyDescent="0.7"/>
    <row r="150" ht="13.95" customHeight="1" x14ac:dyDescent="0.7"/>
    <row r="151" ht="13.95" customHeight="1" x14ac:dyDescent="0.7"/>
    <row r="152" ht="13.95" customHeight="1" x14ac:dyDescent="0.7"/>
    <row r="153" ht="13.95" customHeight="1" x14ac:dyDescent="0.7"/>
    <row r="154" ht="13.95" customHeight="1" x14ac:dyDescent="0.7"/>
    <row r="155" ht="13.95" customHeight="1" x14ac:dyDescent="0.7"/>
    <row r="156" ht="13.95" customHeight="1" x14ac:dyDescent="0.7"/>
    <row r="157" ht="13.95" customHeight="1" x14ac:dyDescent="0.7"/>
    <row r="158" ht="13.95" customHeight="1" x14ac:dyDescent="0.7"/>
    <row r="159" ht="13.95" customHeight="1" x14ac:dyDescent="0.7"/>
    <row r="160" ht="13.95" customHeight="1" x14ac:dyDescent="0.7"/>
    <row r="161" ht="13.95" customHeight="1" x14ac:dyDescent="0.7"/>
    <row r="162" ht="13.95" customHeight="1" x14ac:dyDescent="0.7"/>
    <row r="163" ht="13.95" customHeight="1" x14ac:dyDescent="0.7"/>
    <row r="164" ht="13.95" customHeight="1" x14ac:dyDescent="0.7"/>
    <row r="165" ht="13.95" customHeight="1" x14ac:dyDescent="0.7"/>
    <row r="166" ht="13.95" customHeight="1" x14ac:dyDescent="0.7"/>
    <row r="167" ht="13.95" customHeight="1" x14ac:dyDescent="0.7"/>
    <row r="168" ht="13.95" customHeight="1" x14ac:dyDescent="0.7"/>
    <row r="169" ht="13.95" customHeight="1" x14ac:dyDescent="0.7"/>
    <row r="170" ht="13.95" customHeight="1" x14ac:dyDescent="0.7"/>
    <row r="171" ht="13.95" customHeight="1" x14ac:dyDescent="0.7"/>
    <row r="172" ht="13.95" customHeight="1" x14ac:dyDescent="0.7"/>
    <row r="173" ht="13.95" customHeight="1" x14ac:dyDescent="0.7"/>
    <row r="174" ht="13.95" customHeight="1" x14ac:dyDescent="0.7"/>
    <row r="175" ht="13.95" customHeight="1" x14ac:dyDescent="0.7"/>
    <row r="176" ht="13.95" customHeight="1" x14ac:dyDescent="0.7"/>
    <row r="177" ht="13.95" customHeight="1" x14ac:dyDescent="0.7"/>
    <row r="178" ht="13.95" customHeight="1" x14ac:dyDescent="0.7"/>
    <row r="179" ht="13.95" customHeight="1" x14ac:dyDescent="0.7"/>
    <row r="180" ht="13.95" customHeight="1" x14ac:dyDescent="0.7"/>
    <row r="181" ht="13.95" customHeight="1" x14ac:dyDescent="0.7"/>
    <row r="182" ht="13.95" customHeight="1" x14ac:dyDescent="0.7"/>
    <row r="183" ht="13.95" customHeight="1" x14ac:dyDescent="0.7"/>
    <row r="184" ht="13.95" customHeight="1" x14ac:dyDescent="0.7"/>
    <row r="185" ht="13.95" customHeight="1" x14ac:dyDescent="0.7"/>
    <row r="186" ht="13.95" customHeight="1" x14ac:dyDescent="0.7"/>
    <row r="187" ht="13.95" customHeight="1" x14ac:dyDescent="0.7"/>
    <row r="188" ht="13.95" customHeight="1" x14ac:dyDescent="0.7"/>
    <row r="189" ht="13.95" customHeight="1" x14ac:dyDescent="0.7"/>
    <row r="190" ht="13.95" customHeight="1" x14ac:dyDescent="0.7"/>
    <row r="191" ht="13.95" customHeight="1" x14ac:dyDescent="0.7"/>
    <row r="192" ht="13.95" customHeight="1" x14ac:dyDescent="0.7"/>
    <row r="193" ht="13.95" customHeight="1" x14ac:dyDescent="0.7"/>
    <row r="194" ht="13.95" customHeight="1" x14ac:dyDescent="0.7"/>
    <row r="195" ht="13.95" customHeight="1" x14ac:dyDescent="0.7"/>
    <row r="196" ht="13.95" customHeight="1" x14ac:dyDescent="0.7"/>
    <row r="197" ht="13.95" customHeight="1" x14ac:dyDescent="0.7"/>
    <row r="198" ht="13.95" customHeight="1" x14ac:dyDescent="0.7"/>
    <row r="199" ht="13.95" customHeight="1" x14ac:dyDescent="0.7"/>
    <row r="200" ht="13.95" customHeight="1" x14ac:dyDescent="0.7"/>
    <row r="201" ht="13.95" customHeight="1" x14ac:dyDescent="0.7"/>
    <row r="202" ht="13.95" customHeight="1" x14ac:dyDescent="0.7"/>
    <row r="203" ht="13.95" customHeight="1" x14ac:dyDescent="0.7"/>
    <row r="204" ht="13.95" customHeight="1" x14ac:dyDescent="0.7"/>
    <row r="205" ht="13.95" customHeight="1" x14ac:dyDescent="0.7"/>
    <row r="206" ht="13.95" customHeight="1" x14ac:dyDescent="0.7"/>
    <row r="207" ht="13.95" customHeight="1" x14ac:dyDescent="0.7"/>
    <row r="208" ht="13.95" customHeight="1" x14ac:dyDescent="0.7"/>
    <row r="209" ht="13.95" customHeight="1" x14ac:dyDescent="0.7"/>
    <row r="210" ht="13.95" customHeight="1" x14ac:dyDescent="0.7"/>
    <row r="211" ht="13.95" customHeight="1" x14ac:dyDescent="0.7"/>
    <row r="212" ht="13.95" customHeight="1" x14ac:dyDescent="0.7"/>
    <row r="213" ht="13.95" customHeight="1" x14ac:dyDescent="0.7"/>
    <row r="214" ht="13.95" customHeight="1" x14ac:dyDescent="0.7"/>
    <row r="215" ht="13.95" customHeight="1" x14ac:dyDescent="0.7"/>
    <row r="216" ht="13.95" customHeight="1" x14ac:dyDescent="0.7"/>
    <row r="217" ht="13.95" customHeight="1" x14ac:dyDescent="0.7"/>
    <row r="218" ht="13.95" customHeight="1" x14ac:dyDescent="0.7"/>
    <row r="219" ht="13.95" customHeight="1" x14ac:dyDescent="0.7"/>
    <row r="220" ht="13.95" customHeight="1" x14ac:dyDescent="0.7"/>
    <row r="221" ht="13.95" customHeight="1" x14ac:dyDescent="0.7"/>
    <row r="222" ht="13.95" customHeight="1" x14ac:dyDescent="0.7"/>
    <row r="223" ht="13.95" customHeight="1" x14ac:dyDescent="0.7"/>
    <row r="224" ht="13.95" customHeight="1" x14ac:dyDescent="0.7"/>
    <row r="225" ht="13.95" customHeight="1" x14ac:dyDescent="0.7"/>
    <row r="226" ht="13.95" customHeight="1" x14ac:dyDescent="0.7"/>
    <row r="227" ht="13.95" customHeight="1" x14ac:dyDescent="0.7"/>
    <row r="228" ht="13.95" customHeight="1" x14ac:dyDescent="0.7"/>
    <row r="229" ht="13.95" customHeight="1" x14ac:dyDescent="0.7"/>
    <row r="230" ht="13.95" customHeight="1" x14ac:dyDescent="0.7"/>
    <row r="231" ht="13.95" customHeight="1" x14ac:dyDescent="0.7"/>
    <row r="232" ht="13.95" customHeight="1" x14ac:dyDescent="0.7"/>
    <row r="233" ht="13.95" customHeight="1" x14ac:dyDescent="0.7"/>
    <row r="234" ht="13.95" customHeight="1" x14ac:dyDescent="0.7"/>
    <row r="235" ht="13.95" customHeight="1" x14ac:dyDescent="0.7"/>
    <row r="236" ht="13.95" customHeight="1" x14ac:dyDescent="0.7"/>
    <row r="237" ht="13.95" customHeight="1" x14ac:dyDescent="0.7"/>
    <row r="238" ht="13.95" customHeight="1" x14ac:dyDescent="0.7"/>
    <row r="239" ht="13.95" customHeight="1" x14ac:dyDescent="0.7"/>
    <row r="240" ht="13.95" customHeight="1" x14ac:dyDescent="0.7"/>
    <row r="241" ht="13.95" customHeight="1" x14ac:dyDescent="0.7"/>
    <row r="242" ht="13.95" customHeight="1" x14ac:dyDescent="0.7"/>
    <row r="243" ht="13.95" customHeight="1" x14ac:dyDescent="0.7"/>
    <row r="244" ht="13.95" customHeight="1" x14ac:dyDescent="0.7"/>
    <row r="245" ht="13.95" customHeight="1" x14ac:dyDescent="0.7"/>
    <row r="246" ht="13.95" customHeight="1" x14ac:dyDescent="0.7"/>
    <row r="247" ht="13.95" customHeight="1" x14ac:dyDescent="0.7"/>
    <row r="248" ht="13.95" customHeight="1" x14ac:dyDescent="0.7"/>
    <row r="249" ht="13.95" customHeight="1" x14ac:dyDescent="0.7"/>
    <row r="250" ht="13.95" customHeight="1" x14ac:dyDescent="0.7"/>
    <row r="251" ht="13.95" customHeight="1" x14ac:dyDescent="0.7"/>
    <row r="252" ht="13.95" customHeight="1" x14ac:dyDescent="0.7"/>
    <row r="253" ht="13.95" customHeight="1" x14ac:dyDescent="0.7"/>
    <row r="254" ht="13.95" customHeight="1" x14ac:dyDescent="0.7"/>
    <row r="255" ht="13.95" customHeight="1" x14ac:dyDescent="0.7"/>
    <row r="256" ht="13.95" customHeight="1" x14ac:dyDescent="0.7"/>
    <row r="257" ht="13.95" customHeight="1" x14ac:dyDescent="0.7"/>
    <row r="258" ht="13.95" customHeight="1" x14ac:dyDescent="0.7"/>
    <row r="259" ht="13.95" customHeight="1" x14ac:dyDescent="0.7"/>
    <row r="260" ht="13.95" customHeight="1" x14ac:dyDescent="0.7"/>
    <row r="261" ht="13.95" customHeight="1" x14ac:dyDescent="0.7"/>
    <row r="262" ht="13.95" customHeight="1" x14ac:dyDescent="0.7"/>
    <row r="263" ht="13.95" customHeight="1" x14ac:dyDescent="0.7"/>
    <row r="264" ht="13.95" customHeight="1" x14ac:dyDescent="0.7"/>
    <row r="265" ht="13.95" customHeight="1" x14ac:dyDescent="0.7"/>
    <row r="266" ht="13.95" customHeight="1" x14ac:dyDescent="0.7"/>
    <row r="267" ht="13.95" customHeight="1" x14ac:dyDescent="0.7"/>
    <row r="268" ht="13.95" customHeight="1" x14ac:dyDescent="0.7"/>
    <row r="269" ht="13.95" customHeight="1" x14ac:dyDescent="0.7"/>
    <row r="270" ht="13.95" customHeight="1" x14ac:dyDescent="0.7"/>
    <row r="271" ht="13.95" customHeight="1" x14ac:dyDescent="0.7"/>
    <row r="272" ht="13.95" customHeight="1" x14ac:dyDescent="0.7"/>
    <row r="273" ht="13.95" customHeight="1" x14ac:dyDescent="0.7"/>
    <row r="274" ht="13.95" customHeight="1" x14ac:dyDescent="0.7"/>
    <row r="275" ht="13.95" customHeight="1" x14ac:dyDescent="0.7"/>
    <row r="276" ht="13.95" customHeight="1" x14ac:dyDescent="0.7"/>
    <row r="277" ht="13.95" customHeight="1" x14ac:dyDescent="0.7"/>
    <row r="278" ht="13.95" customHeight="1" x14ac:dyDescent="0.7"/>
    <row r="279" ht="13.95" customHeight="1" x14ac:dyDescent="0.7"/>
    <row r="280" ht="13.95" customHeight="1" x14ac:dyDescent="0.7"/>
    <row r="281" ht="13.95" customHeight="1" x14ac:dyDescent="0.7"/>
    <row r="282" ht="13.95" customHeight="1" x14ac:dyDescent="0.7"/>
    <row r="283" ht="13.95" customHeight="1" x14ac:dyDescent="0.7"/>
    <row r="284" ht="13.95" customHeight="1" x14ac:dyDescent="0.7"/>
    <row r="285" ht="13.95" customHeight="1" x14ac:dyDescent="0.7"/>
    <row r="286" ht="13.95" customHeight="1" x14ac:dyDescent="0.7"/>
    <row r="287" ht="13.95" customHeight="1" x14ac:dyDescent="0.7"/>
    <row r="288" ht="13.95" customHeight="1" x14ac:dyDescent="0.7"/>
    <row r="289" ht="13.95" customHeight="1" x14ac:dyDescent="0.7"/>
    <row r="290" ht="13.95" customHeight="1" x14ac:dyDescent="0.7"/>
    <row r="291" ht="13.95" customHeight="1" x14ac:dyDescent="0.7"/>
    <row r="292" ht="13.95" customHeight="1" x14ac:dyDescent="0.7"/>
    <row r="293" ht="13.95" customHeight="1" x14ac:dyDescent="0.7"/>
    <row r="294" ht="13.95" customHeight="1" x14ac:dyDescent="0.7"/>
    <row r="295" ht="13.95" customHeight="1" x14ac:dyDescent="0.7"/>
    <row r="296" ht="13.95" customHeight="1" x14ac:dyDescent="0.7"/>
    <row r="297" ht="13.95" customHeight="1" x14ac:dyDescent="0.7"/>
    <row r="298" ht="13.95" customHeight="1" x14ac:dyDescent="0.7"/>
    <row r="299" ht="13.95" customHeight="1" x14ac:dyDescent="0.7"/>
    <row r="300" ht="13.95" customHeight="1" x14ac:dyDescent="0.7"/>
    <row r="301" ht="13.95" customHeight="1" x14ac:dyDescent="0.7"/>
    <row r="302" ht="13.95" customHeight="1" x14ac:dyDescent="0.7"/>
    <row r="303" ht="13.95" customHeight="1" x14ac:dyDescent="0.7"/>
    <row r="304" ht="13.95" customHeight="1" x14ac:dyDescent="0.7"/>
    <row r="305" ht="13.95" customHeight="1" x14ac:dyDescent="0.7"/>
    <row r="306" ht="13.95" customHeight="1" x14ac:dyDescent="0.7"/>
    <row r="307" ht="13.95" customHeight="1" x14ac:dyDescent="0.7"/>
    <row r="308" ht="13.95" customHeight="1" x14ac:dyDescent="0.7"/>
    <row r="309" ht="13.95" customHeight="1" x14ac:dyDescent="0.7"/>
    <row r="310" ht="13.95" customHeight="1" x14ac:dyDescent="0.7"/>
    <row r="311" ht="13.95" customHeight="1" x14ac:dyDescent="0.7"/>
    <row r="312" ht="13.95" customHeight="1" x14ac:dyDescent="0.7"/>
    <row r="313" ht="13.95" customHeight="1" x14ac:dyDescent="0.7"/>
    <row r="314" ht="13.95" customHeight="1" x14ac:dyDescent="0.7"/>
    <row r="315" ht="13.95" customHeight="1" x14ac:dyDescent="0.7"/>
    <row r="316" ht="13.95" customHeight="1" x14ac:dyDescent="0.7"/>
    <row r="317" ht="13.95" customHeight="1" x14ac:dyDescent="0.7"/>
    <row r="318" ht="13.95" customHeight="1" x14ac:dyDescent="0.7"/>
    <row r="319" ht="13.95" customHeight="1" x14ac:dyDescent="0.7"/>
    <row r="320" ht="13.95" customHeight="1" x14ac:dyDescent="0.7"/>
    <row r="321" ht="13.95" customHeight="1" x14ac:dyDescent="0.7"/>
    <row r="322" ht="13.95" customHeight="1" x14ac:dyDescent="0.7"/>
    <row r="323" ht="13.95" customHeight="1" x14ac:dyDescent="0.7"/>
    <row r="324" ht="13.95" customHeight="1" x14ac:dyDescent="0.7"/>
    <row r="325" ht="13.95" customHeight="1" x14ac:dyDescent="0.7"/>
    <row r="326" ht="13.95" customHeight="1" x14ac:dyDescent="0.7"/>
    <row r="327" ht="13.95" customHeight="1" x14ac:dyDescent="0.7"/>
    <row r="328" ht="13.95" customHeight="1" x14ac:dyDescent="0.7"/>
    <row r="329" ht="13.95" customHeight="1" x14ac:dyDescent="0.7"/>
    <row r="330" ht="13.95" customHeight="1" x14ac:dyDescent="0.7"/>
    <row r="331" ht="13.95" customHeight="1" x14ac:dyDescent="0.7"/>
    <row r="332" ht="13.95" customHeight="1" x14ac:dyDescent="0.7"/>
    <row r="333" ht="13.95" customHeight="1" x14ac:dyDescent="0.7"/>
    <row r="334" ht="13.95" customHeight="1" x14ac:dyDescent="0.7"/>
    <row r="335" ht="13.95" customHeight="1" x14ac:dyDescent="0.7"/>
    <row r="336" ht="13.95" customHeight="1" x14ac:dyDescent="0.7"/>
    <row r="337" ht="13.95" customHeight="1" x14ac:dyDescent="0.7"/>
    <row r="338" ht="13.95" customHeight="1" x14ac:dyDescent="0.7"/>
    <row r="339" ht="13.95" customHeight="1" x14ac:dyDescent="0.7"/>
    <row r="340" ht="13.95" customHeight="1" x14ac:dyDescent="0.7"/>
    <row r="341" ht="13.95" customHeight="1" x14ac:dyDescent="0.7"/>
    <row r="342" ht="13.95" customHeight="1" x14ac:dyDescent="0.7"/>
    <row r="343" ht="13.95" customHeight="1" x14ac:dyDescent="0.7"/>
    <row r="344" ht="13.95" customHeight="1" x14ac:dyDescent="0.7"/>
    <row r="345" ht="13.95" customHeight="1" x14ac:dyDescent="0.7"/>
    <row r="346" ht="13.95" customHeight="1" x14ac:dyDescent="0.7"/>
    <row r="347" ht="13.95" customHeight="1" x14ac:dyDescent="0.7"/>
    <row r="348" ht="13.95" customHeight="1" x14ac:dyDescent="0.7"/>
    <row r="349" ht="13.95" customHeight="1" x14ac:dyDescent="0.7"/>
    <row r="350" ht="13.95" customHeight="1" x14ac:dyDescent="0.7"/>
    <row r="351" ht="13.95" customHeight="1" x14ac:dyDescent="0.7"/>
    <row r="352" ht="13.95" customHeight="1" x14ac:dyDescent="0.7"/>
    <row r="353" ht="13.95" customHeight="1" x14ac:dyDescent="0.7"/>
    <row r="354" ht="13.95" customHeight="1" x14ac:dyDescent="0.7"/>
    <row r="355" ht="13.95" customHeight="1" x14ac:dyDescent="0.7"/>
    <row r="356" ht="13.95" customHeight="1" x14ac:dyDescent="0.7"/>
    <row r="357" ht="13.95" customHeight="1" x14ac:dyDescent="0.7"/>
    <row r="358" ht="13.95" customHeight="1" x14ac:dyDescent="0.7"/>
    <row r="359" ht="13.95" customHeight="1" x14ac:dyDescent="0.7"/>
    <row r="360" ht="13.95" customHeight="1" x14ac:dyDescent="0.7"/>
    <row r="361" ht="13.95" customHeight="1" x14ac:dyDescent="0.7"/>
    <row r="362" ht="13.95" customHeight="1" x14ac:dyDescent="0.7"/>
    <row r="363" ht="13.95" customHeight="1" x14ac:dyDescent="0.7"/>
    <row r="364" ht="13.95" customHeight="1" x14ac:dyDescent="0.7"/>
    <row r="365" ht="13.95" customHeight="1" x14ac:dyDescent="0.7"/>
    <row r="366" ht="13.95" customHeight="1" x14ac:dyDescent="0.7"/>
    <row r="367" ht="13.95" customHeight="1" x14ac:dyDescent="0.7"/>
    <row r="368" ht="13.95" customHeight="1" x14ac:dyDescent="0.7"/>
    <row r="369" ht="13.95" customHeight="1" x14ac:dyDescent="0.7"/>
    <row r="370" ht="13.95" customHeight="1" x14ac:dyDescent="0.7"/>
    <row r="371" ht="13.95" customHeight="1" x14ac:dyDescent="0.7"/>
    <row r="372" ht="13.95" customHeight="1" x14ac:dyDescent="0.7"/>
    <row r="373" ht="13.95" customHeight="1" x14ac:dyDescent="0.7"/>
    <row r="374" ht="13.95" customHeight="1" x14ac:dyDescent="0.7"/>
    <row r="375" ht="13.95" customHeight="1" x14ac:dyDescent="0.7"/>
    <row r="376" ht="13.95" customHeight="1" x14ac:dyDescent="0.7"/>
    <row r="377" ht="13.95" customHeight="1" x14ac:dyDescent="0.7"/>
    <row r="378" ht="13.95" customHeight="1" x14ac:dyDescent="0.7"/>
    <row r="379" ht="13.95" customHeight="1" x14ac:dyDescent="0.7"/>
    <row r="380" ht="13.95" customHeight="1" x14ac:dyDescent="0.7"/>
    <row r="381" ht="13.95" customHeight="1" x14ac:dyDescent="0.7"/>
    <row r="382" ht="13.95" customHeight="1" x14ac:dyDescent="0.7"/>
    <row r="383" ht="13.95" customHeight="1" x14ac:dyDescent="0.7"/>
    <row r="384" ht="13.95" customHeight="1" x14ac:dyDescent="0.7"/>
    <row r="385" ht="13.95" customHeight="1" x14ac:dyDescent="0.7"/>
    <row r="386" ht="13.95" customHeight="1" x14ac:dyDescent="0.7"/>
    <row r="387" ht="13.95" customHeight="1" x14ac:dyDescent="0.7"/>
    <row r="388" ht="13.95" customHeight="1" x14ac:dyDescent="0.7"/>
    <row r="389" ht="13.95" customHeight="1" x14ac:dyDescent="0.7"/>
    <row r="390" ht="13.95" customHeight="1" x14ac:dyDescent="0.7"/>
    <row r="391" ht="13.95" customHeight="1" x14ac:dyDescent="0.7"/>
    <row r="392" ht="13.95" customHeight="1" x14ac:dyDescent="0.7"/>
    <row r="393" ht="13.95" customHeight="1" x14ac:dyDescent="0.7"/>
    <row r="394" ht="13.95" customHeight="1" x14ac:dyDescent="0.7"/>
    <row r="395" ht="13.95" customHeight="1" x14ac:dyDescent="0.7"/>
    <row r="396" ht="13.95" customHeight="1" x14ac:dyDescent="0.7"/>
    <row r="397" ht="13.95" customHeight="1" x14ac:dyDescent="0.7"/>
    <row r="398" ht="13.95" customHeight="1" x14ac:dyDescent="0.7"/>
    <row r="399" ht="13.95" customHeight="1" x14ac:dyDescent="0.7"/>
    <row r="400" ht="13.95" customHeight="1" x14ac:dyDescent="0.7"/>
    <row r="401" ht="13.95" customHeight="1" x14ac:dyDescent="0.7"/>
    <row r="402" ht="13.95" customHeight="1" x14ac:dyDescent="0.7"/>
    <row r="403" ht="13.95" customHeight="1" x14ac:dyDescent="0.7"/>
    <row r="404" ht="13.95" customHeight="1" x14ac:dyDescent="0.7"/>
    <row r="405" ht="13.95" customHeight="1" x14ac:dyDescent="0.7"/>
    <row r="406" ht="13.95" customHeight="1" x14ac:dyDescent="0.7"/>
    <row r="407" ht="13.95" customHeight="1" x14ac:dyDescent="0.7"/>
    <row r="408" ht="13.95" customHeight="1" x14ac:dyDescent="0.7"/>
    <row r="409" ht="13.95" customHeight="1" x14ac:dyDescent="0.7"/>
    <row r="410" ht="13.95" customHeight="1" x14ac:dyDescent="0.7"/>
    <row r="411" ht="13.95" customHeight="1" x14ac:dyDescent="0.7"/>
    <row r="412" ht="13.95" customHeight="1" x14ac:dyDescent="0.7"/>
    <row r="413" ht="13.95" customHeight="1" x14ac:dyDescent="0.7"/>
    <row r="414" ht="13.95" customHeight="1" x14ac:dyDescent="0.7"/>
    <row r="415" ht="13.95" customHeight="1" x14ac:dyDescent="0.7"/>
    <row r="416" ht="13.95" customHeight="1" x14ac:dyDescent="0.7"/>
    <row r="417" ht="13.95" customHeight="1" x14ac:dyDescent="0.7"/>
    <row r="418" ht="13.95" customHeight="1" x14ac:dyDescent="0.7"/>
    <row r="419" ht="13.95" customHeight="1" x14ac:dyDescent="0.7"/>
    <row r="420" ht="13.95" customHeight="1" x14ac:dyDescent="0.7"/>
    <row r="421" ht="13.95" customHeight="1" x14ac:dyDescent="0.7"/>
    <row r="422" ht="13.95" customHeight="1" x14ac:dyDescent="0.7"/>
    <row r="423" ht="13.95" customHeight="1" x14ac:dyDescent="0.7"/>
    <row r="424" ht="13.95" customHeight="1" x14ac:dyDescent="0.7"/>
    <row r="425" ht="13.95" customHeight="1" x14ac:dyDescent="0.7"/>
    <row r="426" ht="13.95" customHeight="1" x14ac:dyDescent="0.7"/>
    <row r="427" ht="13.95" customHeight="1" x14ac:dyDescent="0.7"/>
    <row r="428" ht="13.95" customHeight="1" x14ac:dyDescent="0.7"/>
    <row r="429" ht="13.95" customHeight="1" x14ac:dyDescent="0.7"/>
    <row r="430" ht="13.95" customHeight="1" x14ac:dyDescent="0.7"/>
    <row r="431" ht="13.95" customHeight="1" x14ac:dyDescent="0.7"/>
    <row r="432" ht="13.95" customHeight="1" x14ac:dyDescent="0.7"/>
    <row r="433" ht="13.95" customHeight="1" x14ac:dyDescent="0.7"/>
    <row r="434" ht="13.95" customHeight="1" x14ac:dyDescent="0.7"/>
    <row r="435" ht="13.95" customHeight="1" x14ac:dyDescent="0.7"/>
    <row r="436" ht="13.95" customHeight="1" x14ac:dyDescent="0.7"/>
    <row r="437" ht="13.95" customHeight="1" x14ac:dyDescent="0.7"/>
    <row r="438" ht="13.95" customHeight="1" x14ac:dyDescent="0.7"/>
    <row r="439" ht="13.95" customHeight="1" x14ac:dyDescent="0.7"/>
    <row r="440" ht="13.95" customHeight="1" x14ac:dyDescent="0.7"/>
    <row r="441" ht="13.95" customHeight="1" x14ac:dyDescent="0.7"/>
    <row r="442" ht="13.95" customHeight="1" x14ac:dyDescent="0.7"/>
    <row r="443" ht="13.95" customHeight="1" x14ac:dyDescent="0.7"/>
    <row r="444" ht="13.95" customHeight="1" x14ac:dyDescent="0.7"/>
    <row r="445" ht="13.95" customHeight="1" x14ac:dyDescent="0.7"/>
    <row r="446" ht="13.95" customHeight="1" x14ac:dyDescent="0.7"/>
    <row r="447" ht="13.95" customHeight="1" x14ac:dyDescent="0.7"/>
    <row r="448" ht="13.95" customHeight="1" x14ac:dyDescent="0.7"/>
    <row r="449" ht="13.95" customHeight="1" x14ac:dyDescent="0.7"/>
    <row r="450" ht="13.95" customHeight="1" x14ac:dyDescent="0.7"/>
    <row r="451" ht="13.95" customHeight="1" x14ac:dyDescent="0.7"/>
    <row r="452" ht="13.95" customHeight="1" x14ac:dyDescent="0.7"/>
    <row r="453" ht="13.95" customHeight="1" x14ac:dyDescent="0.7"/>
    <row r="454" ht="13.95" customHeight="1" x14ac:dyDescent="0.7"/>
    <row r="455" ht="13.95" customHeight="1" x14ac:dyDescent="0.7"/>
    <row r="456" ht="13.95" customHeight="1" x14ac:dyDescent="0.7"/>
    <row r="457" ht="13.95" customHeight="1" x14ac:dyDescent="0.7"/>
    <row r="458" ht="13.95" customHeight="1" x14ac:dyDescent="0.7"/>
    <row r="459" ht="13.95" customHeight="1" x14ac:dyDescent="0.7"/>
    <row r="460" ht="13.95" customHeight="1" x14ac:dyDescent="0.7"/>
    <row r="461" ht="13.95" customHeight="1" x14ac:dyDescent="0.7"/>
    <row r="462" ht="13.95" customHeight="1" x14ac:dyDescent="0.7"/>
    <row r="463" ht="13.95" customHeight="1" x14ac:dyDescent="0.7"/>
    <row r="464" ht="13.95" customHeight="1" x14ac:dyDescent="0.7"/>
    <row r="465" ht="13.95" customHeight="1" x14ac:dyDescent="0.7"/>
    <row r="466" ht="13.95" customHeight="1" x14ac:dyDescent="0.7"/>
    <row r="467" ht="13.95" customHeight="1" x14ac:dyDescent="0.7"/>
    <row r="468" ht="13.95" customHeight="1" x14ac:dyDescent="0.7"/>
    <row r="469" ht="13.95" customHeight="1" x14ac:dyDescent="0.7"/>
    <row r="470" ht="13.95" customHeight="1" x14ac:dyDescent="0.7"/>
    <row r="471" ht="13.95" customHeight="1" x14ac:dyDescent="0.7"/>
    <row r="472" ht="13.95" customHeight="1" x14ac:dyDescent="0.7"/>
    <row r="473" ht="13.95" customHeight="1" x14ac:dyDescent="0.7"/>
    <row r="474" ht="13.95" customHeight="1" x14ac:dyDescent="0.7"/>
    <row r="475" ht="13.95" customHeight="1" x14ac:dyDescent="0.7"/>
    <row r="476" ht="13.95" customHeight="1" x14ac:dyDescent="0.7"/>
    <row r="477" ht="13.95" customHeight="1" x14ac:dyDescent="0.7"/>
    <row r="478" ht="13.95" customHeight="1" x14ac:dyDescent="0.7"/>
    <row r="479" ht="13.95" customHeight="1" x14ac:dyDescent="0.7"/>
    <row r="480" ht="13.95" customHeight="1" x14ac:dyDescent="0.7"/>
    <row r="481" ht="13.95" customHeight="1" x14ac:dyDescent="0.7"/>
    <row r="482" ht="13.95" customHeight="1" x14ac:dyDescent="0.7"/>
    <row r="483" ht="13.95" customHeight="1" x14ac:dyDescent="0.7"/>
    <row r="484" ht="13.95" customHeight="1" x14ac:dyDescent="0.7"/>
    <row r="485" ht="13.95" customHeight="1" x14ac:dyDescent="0.7"/>
    <row r="486" ht="13.95" customHeight="1" x14ac:dyDescent="0.7"/>
    <row r="487" ht="13.95" customHeight="1" x14ac:dyDescent="0.7"/>
    <row r="488" ht="13.95" customHeight="1" x14ac:dyDescent="0.7"/>
    <row r="489" ht="13.95" customHeight="1" x14ac:dyDescent="0.7"/>
    <row r="490" ht="13.95" customHeight="1" x14ac:dyDescent="0.7"/>
    <row r="491" ht="13.95" customHeight="1" x14ac:dyDescent="0.7"/>
    <row r="492" ht="13.95" customHeight="1" x14ac:dyDescent="0.7"/>
    <row r="493" ht="13.95" customHeight="1" x14ac:dyDescent="0.7"/>
    <row r="494" ht="13.95" customHeight="1" x14ac:dyDescent="0.7"/>
    <row r="495" ht="13.95" customHeight="1" x14ac:dyDescent="0.7"/>
    <row r="496" ht="13.95" customHeight="1" x14ac:dyDescent="0.7"/>
    <row r="497" ht="13.95" customHeight="1" x14ac:dyDescent="0.7"/>
    <row r="498" ht="13.95" customHeight="1" x14ac:dyDescent="0.7"/>
    <row r="499" ht="13.95" customHeight="1" x14ac:dyDescent="0.7"/>
    <row r="500" ht="13.95" customHeight="1" x14ac:dyDescent="0.7"/>
    <row r="501" ht="13.95" customHeight="1" x14ac:dyDescent="0.7"/>
    <row r="502" ht="13.95" customHeight="1" x14ac:dyDescent="0.7"/>
    <row r="503" ht="13.95" customHeight="1" x14ac:dyDescent="0.7"/>
    <row r="504" ht="13.95" customHeight="1" x14ac:dyDescent="0.7"/>
    <row r="505" ht="13.95" customHeight="1" x14ac:dyDescent="0.7"/>
    <row r="506" ht="13.95" customHeight="1" x14ac:dyDescent="0.7"/>
    <row r="507" ht="13.95" customHeight="1" x14ac:dyDescent="0.7"/>
    <row r="508" ht="13.95" customHeight="1" x14ac:dyDescent="0.7"/>
    <row r="509" ht="13.95" customHeight="1" x14ac:dyDescent="0.7"/>
    <row r="510" ht="13.95" customHeight="1" x14ac:dyDescent="0.7"/>
    <row r="511" ht="13.95" customHeight="1" x14ac:dyDescent="0.7"/>
    <row r="512" ht="13.95" customHeight="1" x14ac:dyDescent="0.7"/>
    <row r="513" ht="13.95" customHeight="1" x14ac:dyDescent="0.7"/>
    <row r="514" ht="13.95" customHeight="1" x14ac:dyDescent="0.7"/>
    <row r="515" ht="13.95" customHeight="1" x14ac:dyDescent="0.7"/>
    <row r="516" ht="13.95" customHeight="1" x14ac:dyDescent="0.7"/>
    <row r="517" ht="13.95" customHeight="1" x14ac:dyDescent="0.7"/>
    <row r="518" ht="13.95" customHeight="1" x14ac:dyDescent="0.7"/>
    <row r="519" ht="13.95" customHeight="1" x14ac:dyDescent="0.7"/>
    <row r="520" ht="13.95" customHeight="1" x14ac:dyDescent="0.7"/>
    <row r="521" ht="13.95" customHeight="1" x14ac:dyDescent="0.7"/>
    <row r="522" ht="13.95" customHeight="1" x14ac:dyDescent="0.7"/>
    <row r="523" ht="13.95" customHeight="1" x14ac:dyDescent="0.7"/>
    <row r="524" ht="13.95" customHeight="1" x14ac:dyDescent="0.7"/>
    <row r="525" ht="13.95" customHeight="1" x14ac:dyDescent="0.7"/>
    <row r="526" ht="13.95" customHeight="1" x14ac:dyDescent="0.7"/>
    <row r="527" ht="13.95" customHeight="1" x14ac:dyDescent="0.7"/>
    <row r="528" ht="13.95" customHeight="1" x14ac:dyDescent="0.7"/>
    <row r="529" ht="13.95" customHeight="1" x14ac:dyDescent="0.7"/>
    <row r="530" ht="13.95" customHeight="1" x14ac:dyDescent="0.7"/>
    <row r="531" ht="13.95" customHeight="1" x14ac:dyDescent="0.7"/>
    <row r="532" ht="13.95" customHeight="1" x14ac:dyDescent="0.7"/>
    <row r="533" ht="13.95" customHeight="1" x14ac:dyDescent="0.7"/>
    <row r="534" ht="13.95" customHeight="1" x14ac:dyDescent="0.7"/>
    <row r="535" ht="13.95" customHeight="1" x14ac:dyDescent="0.7"/>
    <row r="536" ht="13.95" customHeight="1" x14ac:dyDescent="0.7"/>
    <row r="537" ht="13.95" customHeight="1" x14ac:dyDescent="0.7"/>
    <row r="538" ht="13.95" customHeight="1" x14ac:dyDescent="0.7"/>
    <row r="539" ht="13.95" customHeight="1" x14ac:dyDescent="0.7"/>
    <row r="540" ht="13.95" customHeight="1" x14ac:dyDescent="0.7"/>
    <row r="541" ht="13.95" customHeight="1" x14ac:dyDescent="0.7"/>
    <row r="542" ht="13.95" customHeight="1" x14ac:dyDescent="0.7"/>
    <row r="543" ht="13.95" customHeight="1" x14ac:dyDescent="0.7"/>
    <row r="544" ht="13.95" customHeight="1" x14ac:dyDescent="0.7"/>
    <row r="545" ht="13.95" customHeight="1" x14ac:dyDescent="0.7"/>
    <row r="546" ht="13.95" customHeight="1" x14ac:dyDescent="0.7"/>
    <row r="547" ht="13.95" customHeight="1" x14ac:dyDescent="0.7"/>
    <row r="548" ht="13.95" customHeight="1" x14ac:dyDescent="0.7"/>
    <row r="549" ht="13.95" customHeight="1" x14ac:dyDescent="0.7"/>
    <row r="550" ht="13.95" customHeight="1" x14ac:dyDescent="0.7"/>
    <row r="551" ht="13.95" customHeight="1" x14ac:dyDescent="0.7"/>
    <row r="552" ht="13.95" customHeight="1" x14ac:dyDescent="0.7"/>
    <row r="553" ht="13.95" customHeight="1" x14ac:dyDescent="0.7"/>
    <row r="554" ht="13.95" customHeight="1" x14ac:dyDescent="0.7"/>
    <row r="555" ht="13.95" customHeight="1" x14ac:dyDescent="0.7"/>
    <row r="556" ht="13.95" customHeight="1" x14ac:dyDescent="0.7"/>
    <row r="557" ht="13.95" customHeight="1" x14ac:dyDescent="0.7"/>
    <row r="558" ht="13.95" customHeight="1" x14ac:dyDescent="0.7"/>
    <row r="559" ht="13.95" customHeight="1" x14ac:dyDescent="0.7"/>
    <row r="560" ht="13.95" customHeight="1" x14ac:dyDescent="0.7"/>
    <row r="561" ht="13.95" customHeight="1" x14ac:dyDescent="0.7"/>
    <row r="562" ht="13.95" customHeight="1" x14ac:dyDescent="0.7"/>
    <row r="563" ht="13.95" customHeight="1" x14ac:dyDescent="0.7"/>
    <row r="564" ht="13.95" customHeight="1" x14ac:dyDescent="0.7"/>
    <row r="565" ht="13.95" customHeight="1" x14ac:dyDescent="0.7"/>
    <row r="566" ht="13.95" customHeight="1" x14ac:dyDescent="0.7"/>
    <row r="567" ht="13.95" customHeight="1" x14ac:dyDescent="0.7"/>
    <row r="568" ht="13.95" customHeight="1" x14ac:dyDescent="0.7"/>
    <row r="569" ht="13.95" customHeight="1" x14ac:dyDescent="0.7"/>
    <row r="570" ht="13.95" customHeight="1" x14ac:dyDescent="0.7"/>
    <row r="571" ht="13.95" customHeight="1" x14ac:dyDescent="0.7"/>
    <row r="572" ht="13.95" customHeight="1" x14ac:dyDescent="0.7"/>
    <row r="573" ht="13.95" customHeight="1" x14ac:dyDescent="0.7"/>
    <row r="574" ht="13.95" customHeight="1" x14ac:dyDescent="0.7"/>
    <row r="575" ht="13.95" customHeight="1" x14ac:dyDescent="0.7"/>
    <row r="576" ht="13.95" customHeight="1" x14ac:dyDescent="0.7"/>
    <row r="577" ht="13.95" customHeight="1" x14ac:dyDescent="0.7"/>
    <row r="578" ht="13.95" customHeight="1" x14ac:dyDescent="0.7"/>
    <row r="579" ht="13.95" customHeight="1" x14ac:dyDescent="0.7"/>
    <row r="580" ht="13.95" customHeight="1" x14ac:dyDescent="0.7"/>
    <row r="581" ht="13.95" customHeight="1" x14ac:dyDescent="0.7"/>
    <row r="582" ht="13.95" customHeight="1" x14ac:dyDescent="0.7"/>
    <row r="583" ht="13.95" customHeight="1" x14ac:dyDescent="0.7"/>
    <row r="584" ht="13.95" customHeight="1" x14ac:dyDescent="0.7"/>
    <row r="585" ht="13.95" customHeight="1" x14ac:dyDescent="0.7"/>
    <row r="586" ht="13.95" customHeight="1" x14ac:dyDescent="0.7"/>
    <row r="587" ht="13.95" customHeight="1" x14ac:dyDescent="0.7"/>
    <row r="588" ht="13.95" customHeight="1" x14ac:dyDescent="0.7"/>
    <row r="589" ht="13.95" customHeight="1" x14ac:dyDescent="0.7"/>
    <row r="590" ht="13.95" customHeight="1" x14ac:dyDescent="0.7"/>
    <row r="591" ht="13.95" customHeight="1" x14ac:dyDescent="0.7"/>
    <row r="592" ht="13.95" customHeight="1" x14ac:dyDescent="0.7"/>
    <row r="593" ht="13.95" customHeight="1" x14ac:dyDescent="0.7"/>
    <row r="594" ht="13.95" customHeight="1" x14ac:dyDescent="0.7"/>
    <row r="595" ht="13.95" customHeight="1" x14ac:dyDescent="0.7"/>
    <row r="596" ht="13.95" customHeight="1" x14ac:dyDescent="0.7"/>
    <row r="597" ht="13.95" customHeight="1" x14ac:dyDescent="0.7"/>
    <row r="598" ht="13.95" customHeight="1" x14ac:dyDescent="0.7"/>
    <row r="599" ht="13.95" customHeight="1" x14ac:dyDescent="0.7"/>
    <row r="600" ht="13.95" customHeight="1" x14ac:dyDescent="0.7"/>
    <row r="601" ht="13.95" customHeight="1" x14ac:dyDescent="0.7"/>
    <row r="602" ht="13.95" customHeight="1" x14ac:dyDescent="0.7"/>
    <row r="603" ht="13.95" customHeight="1" x14ac:dyDescent="0.7"/>
    <row r="604" ht="13.95" customHeight="1" x14ac:dyDescent="0.7"/>
    <row r="605" ht="13.95" customHeight="1" x14ac:dyDescent="0.7"/>
    <row r="606" ht="13.95" customHeight="1" x14ac:dyDescent="0.7"/>
    <row r="607" ht="13.95" customHeight="1" x14ac:dyDescent="0.7"/>
    <row r="608" ht="13.95" customHeight="1" x14ac:dyDescent="0.7"/>
    <row r="609" ht="13.95" customHeight="1" x14ac:dyDescent="0.7"/>
    <row r="610" ht="13.95" customHeight="1" x14ac:dyDescent="0.7"/>
    <row r="611" ht="13.95" customHeight="1" x14ac:dyDescent="0.7"/>
    <row r="612" ht="13.95" customHeight="1" x14ac:dyDescent="0.7"/>
    <row r="613" ht="13.95" customHeight="1" x14ac:dyDescent="0.7"/>
    <row r="614" ht="13.95" customHeight="1" x14ac:dyDescent="0.7"/>
    <row r="615" ht="13.95" customHeight="1" x14ac:dyDescent="0.7"/>
    <row r="616" ht="13.95" customHeight="1" x14ac:dyDescent="0.7"/>
    <row r="617" ht="13.95" customHeight="1" x14ac:dyDescent="0.7"/>
    <row r="618" ht="13.95" customHeight="1" x14ac:dyDescent="0.7"/>
    <row r="619" ht="13.95" customHeight="1" x14ac:dyDescent="0.7"/>
    <row r="620" ht="13.95" customHeight="1" x14ac:dyDescent="0.7"/>
    <row r="621" ht="13.95" customHeight="1" x14ac:dyDescent="0.7"/>
    <row r="622" ht="13.95" customHeight="1" x14ac:dyDescent="0.7"/>
    <row r="623" ht="13.95" customHeight="1" x14ac:dyDescent="0.7"/>
    <row r="624" ht="13.95" customHeight="1" x14ac:dyDescent="0.7"/>
    <row r="625" ht="13.95" customHeight="1" x14ac:dyDescent="0.7"/>
    <row r="626" ht="13.95" customHeight="1" x14ac:dyDescent="0.7"/>
    <row r="627" ht="13.95" customHeight="1" x14ac:dyDescent="0.7"/>
    <row r="628" ht="13.95" customHeight="1" x14ac:dyDescent="0.7"/>
    <row r="629" ht="13.95" customHeight="1" x14ac:dyDescent="0.7"/>
    <row r="630" ht="13.95" customHeight="1" x14ac:dyDescent="0.7"/>
    <row r="631" ht="13.95" customHeight="1" x14ac:dyDescent="0.7"/>
    <row r="632" ht="13.95" customHeight="1" x14ac:dyDescent="0.7"/>
    <row r="633" ht="13.95" customHeight="1" x14ac:dyDescent="0.7"/>
    <row r="634" ht="13.95" customHeight="1" x14ac:dyDescent="0.7"/>
    <row r="635" ht="13.95" customHeight="1" x14ac:dyDescent="0.7"/>
    <row r="636" ht="13.95" customHeight="1" x14ac:dyDescent="0.7"/>
    <row r="637" ht="13.95" customHeight="1" x14ac:dyDescent="0.7"/>
    <row r="638" ht="13.95" customHeight="1" x14ac:dyDescent="0.7"/>
    <row r="639" ht="13.95" customHeight="1" x14ac:dyDescent="0.7"/>
    <row r="640" ht="13.95" customHeight="1" x14ac:dyDescent="0.7"/>
    <row r="641" ht="13.95" customHeight="1" x14ac:dyDescent="0.7"/>
    <row r="642" ht="13.95" customHeight="1" x14ac:dyDescent="0.7"/>
    <row r="643" ht="13.95" customHeight="1" x14ac:dyDescent="0.7"/>
    <row r="644" ht="13.95" customHeight="1" x14ac:dyDescent="0.7"/>
    <row r="645" ht="13.95" customHeight="1" x14ac:dyDescent="0.7"/>
    <row r="646" ht="13.95" customHeight="1" x14ac:dyDescent="0.7"/>
    <row r="647" ht="13.95" customHeight="1" x14ac:dyDescent="0.7"/>
    <row r="648" ht="13.95" customHeight="1" x14ac:dyDescent="0.7"/>
    <row r="649" ht="13.95" customHeight="1" x14ac:dyDescent="0.7"/>
    <row r="650" ht="13.95" customHeight="1" x14ac:dyDescent="0.7"/>
    <row r="651" ht="13.95" customHeight="1" x14ac:dyDescent="0.7"/>
    <row r="652" ht="13.95" customHeight="1" x14ac:dyDescent="0.7"/>
    <row r="653" ht="13.95" customHeight="1" x14ac:dyDescent="0.7"/>
    <row r="654" ht="13.95" customHeight="1" x14ac:dyDescent="0.7"/>
    <row r="655" ht="13.95" customHeight="1" x14ac:dyDescent="0.7"/>
    <row r="656" ht="13.95" customHeight="1" x14ac:dyDescent="0.7"/>
    <row r="657" ht="13.95" customHeight="1" x14ac:dyDescent="0.7"/>
    <row r="658" ht="13.95" customHeight="1" x14ac:dyDescent="0.7"/>
    <row r="659" ht="13.95" customHeight="1" x14ac:dyDescent="0.7"/>
    <row r="660" ht="13.95" customHeight="1" x14ac:dyDescent="0.7"/>
    <row r="661" ht="13.95" customHeight="1" x14ac:dyDescent="0.7"/>
    <row r="662" ht="13.95" customHeight="1" x14ac:dyDescent="0.7"/>
    <row r="663" ht="13.95" customHeight="1" x14ac:dyDescent="0.7"/>
    <row r="664" ht="13.95" customHeight="1" x14ac:dyDescent="0.7"/>
    <row r="665" ht="13.95" customHeight="1" x14ac:dyDescent="0.7"/>
    <row r="666" ht="13.95" customHeight="1" x14ac:dyDescent="0.7"/>
    <row r="667" ht="13.95" customHeight="1" x14ac:dyDescent="0.7"/>
    <row r="668" ht="13.95" customHeight="1" x14ac:dyDescent="0.7"/>
    <row r="669" ht="13.95" customHeight="1" x14ac:dyDescent="0.7"/>
    <row r="670" ht="13.95" customHeight="1" x14ac:dyDescent="0.7"/>
    <row r="671" ht="13.95" customHeight="1" x14ac:dyDescent="0.7"/>
    <row r="672" ht="13.95" customHeight="1" x14ac:dyDescent="0.7"/>
    <row r="673" ht="13.95" customHeight="1" x14ac:dyDescent="0.7"/>
    <row r="674" ht="13.95" customHeight="1" x14ac:dyDescent="0.7"/>
    <row r="675" ht="13.95" customHeight="1" x14ac:dyDescent="0.7"/>
    <row r="676" ht="13.95" customHeight="1" x14ac:dyDescent="0.7"/>
    <row r="677" ht="13.95" customHeight="1" x14ac:dyDescent="0.7"/>
    <row r="678" ht="13.95" customHeight="1" x14ac:dyDescent="0.7"/>
    <row r="679" ht="13.95" customHeight="1" x14ac:dyDescent="0.7"/>
    <row r="680" ht="13.95" customHeight="1" x14ac:dyDescent="0.7"/>
    <row r="681" ht="13.95" customHeight="1" x14ac:dyDescent="0.7"/>
    <row r="682" ht="13.95" customHeight="1" x14ac:dyDescent="0.7"/>
    <row r="683" ht="13.95" customHeight="1" x14ac:dyDescent="0.7"/>
    <row r="684" ht="13.95" customHeight="1" x14ac:dyDescent="0.7"/>
    <row r="685" ht="13.95" customHeight="1" x14ac:dyDescent="0.7"/>
    <row r="686" ht="13.95" customHeight="1" x14ac:dyDescent="0.7"/>
    <row r="687" ht="13.95" customHeight="1" x14ac:dyDescent="0.7"/>
    <row r="688" ht="13.95" customHeight="1" x14ac:dyDescent="0.7"/>
    <row r="689" ht="13.95" customHeight="1" x14ac:dyDescent="0.7"/>
    <row r="690" ht="13.95" customHeight="1" x14ac:dyDescent="0.7"/>
    <row r="691" ht="13.95" customHeight="1" x14ac:dyDescent="0.7"/>
    <row r="692" ht="13.95" customHeight="1" x14ac:dyDescent="0.7"/>
    <row r="693" ht="13.95" customHeight="1" x14ac:dyDescent="0.7"/>
    <row r="694" ht="13.95" customHeight="1" x14ac:dyDescent="0.7"/>
    <row r="695" ht="13.95" customHeight="1" x14ac:dyDescent="0.7"/>
    <row r="696" ht="13.95" customHeight="1" x14ac:dyDescent="0.7"/>
    <row r="697" ht="13.95" customHeight="1" x14ac:dyDescent="0.7"/>
    <row r="698" ht="13.95" customHeight="1" x14ac:dyDescent="0.7"/>
    <row r="699" ht="13.95" customHeight="1" x14ac:dyDescent="0.7"/>
    <row r="700" ht="13.95" customHeight="1" x14ac:dyDescent="0.7"/>
    <row r="701" ht="13.95" customHeight="1" x14ac:dyDescent="0.7"/>
    <row r="702" ht="13.95" customHeight="1" x14ac:dyDescent="0.7"/>
    <row r="703" ht="13.95" customHeight="1" x14ac:dyDescent="0.7"/>
    <row r="704" ht="13.95" customHeight="1" x14ac:dyDescent="0.7"/>
    <row r="705" ht="13.95" customHeight="1" x14ac:dyDescent="0.7"/>
    <row r="706" ht="13.95" customHeight="1" x14ac:dyDescent="0.7"/>
    <row r="707" ht="13.95" customHeight="1" x14ac:dyDescent="0.7"/>
    <row r="708" ht="13.95" customHeight="1" x14ac:dyDescent="0.7"/>
    <row r="709" ht="13.95" customHeight="1" x14ac:dyDescent="0.7"/>
    <row r="710" ht="13.95" customHeight="1" x14ac:dyDescent="0.7"/>
    <row r="711" ht="13.95" customHeight="1" x14ac:dyDescent="0.7"/>
    <row r="712" ht="13.95" customHeight="1" x14ac:dyDescent="0.7"/>
    <row r="713" ht="13.95" customHeight="1" x14ac:dyDescent="0.7"/>
    <row r="714" ht="13.95" customHeight="1" x14ac:dyDescent="0.7"/>
    <row r="715" ht="13.95" customHeight="1" x14ac:dyDescent="0.7"/>
    <row r="716" ht="13.95" customHeight="1" x14ac:dyDescent="0.7"/>
    <row r="717" ht="13.95" customHeight="1" x14ac:dyDescent="0.7"/>
    <row r="718" ht="13.95" customHeight="1" x14ac:dyDescent="0.7"/>
    <row r="719" ht="13.95" customHeight="1" x14ac:dyDescent="0.7"/>
    <row r="720" ht="13.95" customHeight="1" x14ac:dyDescent="0.7"/>
    <row r="721" ht="13.95" customHeight="1" x14ac:dyDescent="0.7"/>
    <row r="722" ht="13.95" customHeight="1" x14ac:dyDescent="0.7"/>
    <row r="723" ht="13.95" customHeight="1" x14ac:dyDescent="0.7"/>
    <row r="724" ht="13.95" customHeight="1" x14ac:dyDescent="0.7"/>
    <row r="725" ht="13.95" customHeight="1" x14ac:dyDescent="0.7"/>
    <row r="726" ht="13.95" customHeight="1" x14ac:dyDescent="0.7"/>
    <row r="727" ht="13.95" customHeight="1" x14ac:dyDescent="0.7"/>
    <row r="728" ht="13.95" customHeight="1" x14ac:dyDescent="0.7"/>
    <row r="729" ht="13.95" customHeight="1" x14ac:dyDescent="0.7"/>
    <row r="730" ht="13.95" customHeight="1" x14ac:dyDescent="0.7"/>
    <row r="731" ht="13.95" customHeight="1" x14ac:dyDescent="0.7"/>
    <row r="732" ht="13.95" customHeight="1" x14ac:dyDescent="0.7"/>
    <row r="733" ht="13.95" customHeight="1" x14ac:dyDescent="0.7"/>
    <row r="734" ht="13.95" customHeight="1" x14ac:dyDescent="0.7"/>
    <row r="735" ht="13.95" customHeight="1" x14ac:dyDescent="0.7"/>
    <row r="736" ht="13.95" customHeight="1" x14ac:dyDescent="0.7"/>
    <row r="737" ht="13.95" customHeight="1" x14ac:dyDescent="0.7"/>
    <row r="738" ht="13.95" customHeight="1" x14ac:dyDescent="0.7"/>
    <row r="739" ht="13.95" customHeight="1" x14ac:dyDescent="0.7"/>
    <row r="740" ht="13.95" customHeight="1" x14ac:dyDescent="0.7"/>
    <row r="741" ht="13.95" customHeight="1" x14ac:dyDescent="0.7"/>
    <row r="742" ht="13.95" customHeight="1" x14ac:dyDescent="0.7"/>
    <row r="743" ht="13.95" customHeight="1" x14ac:dyDescent="0.7"/>
    <row r="744" ht="13.95" customHeight="1" x14ac:dyDescent="0.7"/>
    <row r="745" ht="13.95" customHeight="1" x14ac:dyDescent="0.7"/>
    <row r="746" ht="13.95" customHeight="1" x14ac:dyDescent="0.7"/>
    <row r="747" ht="13.95" customHeight="1" x14ac:dyDescent="0.7"/>
    <row r="748" ht="13.95" customHeight="1" x14ac:dyDescent="0.7"/>
    <row r="749" ht="13.95" customHeight="1" x14ac:dyDescent="0.7"/>
    <row r="750" ht="13.95" customHeight="1" x14ac:dyDescent="0.7"/>
    <row r="751" ht="13.95" customHeight="1" x14ac:dyDescent="0.7"/>
    <row r="752" ht="13.95" customHeight="1" x14ac:dyDescent="0.7"/>
    <row r="753" ht="13.95" customHeight="1" x14ac:dyDescent="0.7"/>
    <row r="754" ht="13.95" customHeight="1" x14ac:dyDescent="0.7"/>
    <row r="755" ht="13.95" customHeight="1" x14ac:dyDescent="0.7"/>
    <row r="756" ht="13.95" customHeight="1" x14ac:dyDescent="0.7"/>
    <row r="757" ht="13.95" customHeight="1" x14ac:dyDescent="0.7"/>
    <row r="758" ht="13.95" customHeight="1" x14ac:dyDescent="0.7"/>
    <row r="759" ht="13.95" customHeight="1" x14ac:dyDescent="0.7"/>
    <row r="760" ht="13.95" customHeight="1" x14ac:dyDescent="0.7"/>
    <row r="761" ht="13.95" customHeight="1" x14ac:dyDescent="0.7"/>
    <row r="762" ht="13.95" customHeight="1" x14ac:dyDescent="0.7"/>
    <row r="763" ht="13.95" customHeight="1" x14ac:dyDescent="0.7"/>
    <row r="764" ht="13.95" customHeight="1" x14ac:dyDescent="0.7"/>
    <row r="765" ht="13.95" customHeight="1" x14ac:dyDescent="0.7"/>
    <row r="766" ht="13.95" customHeight="1" x14ac:dyDescent="0.7"/>
    <row r="767" ht="13.95" customHeight="1" x14ac:dyDescent="0.7"/>
    <row r="768" ht="13.95" customHeight="1" x14ac:dyDescent="0.7"/>
    <row r="769" ht="13.95" customHeight="1" x14ac:dyDescent="0.7"/>
    <row r="770" ht="13.95" customHeight="1" x14ac:dyDescent="0.7"/>
    <row r="771" ht="13.95" customHeight="1" x14ac:dyDescent="0.7"/>
    <row r="772" ht="13.95" customHeight="1" x14ac:dyDescent="0.7"/>
    <row r="773" ht="13.95" customHeight="1" x14ac:dyDescent="0.7"/>
    <row r="774" ht="13.95" customHeight="1" x14ac:dyDescent="0.7"/>
    <row r="775" ht="13.95" customHeight="1" x14ac:dyDescent="0.7"/>
    <row r="776" ht="13.95" customHeight="1" x14ac:dyDescent="0.7"/>
    <row r="777" ht="13.95" customHeight="1" x14ac:dyDescent="0.7"/>
    <row r="778" ht="13.95" customHeight="1" x14ac:dyDescent="0.7"/>
    <row r="779" ht="13.95" customHeight="1" x14ac:dyDescent="0.7"/>
    <row r="780" ht="13.95" customHeight="1" x14ac:dyDescent="0.7"/>
    <row r="781" ht="13.95" customHeight="1" x14ac:dyDescent="0.7"/>
    <row r="782" ht="13.95" customHeight="1" x14ac:dyDescent="0.7"/>
    <row r="783" ht="13.95" customHeight="1" x14ac:dyDescent="0.7"/>
    <row r="784" ht="13.95" customHeight="1" x14ac:dyDescent="0.7"/>
    <row r="785" ht="13.95" customHeight="1" x14ac:dyDescent="0.7"/>
    <row r="786" ht="13.95" customHeight="1" x14ac:dyDescent="0.7"/>
    <row r="787" ht="13.95" customHeight="1" x14ac:dyDescent="0.7"/>
    <row r="788" ht="13.95" customHeight="1" x14ac:dyDescent="0.7"/>
    <row r="789" ht="13.95" customHeight="1" x14ac:dyDescent="0.7"/>
    <row r="790" ht="13.95" customHeight="1" x14ac:dyDescent="0.7"/>
    <row r="791" ht="13.95" customHeight="1" x14ac:dyDescent="0.7"/>
    <row r="792" ht="13.95" customHeight="1" x14ac:dyDescent="0.7"/>
    <row r="793" ht="13.95" customHeight="1" x14ac:dyDescent="0.7"/>
    <row r="794" ht="13.95" customHeight="1" x14ac:dyDescent="0.7"/>
    <row r="795" ht="13.95" customHeight="1" x14ac:dyDescent="0.7"/>
    <row r="796" ht="13.95" customHeight="1" x14ac:dyDescent="0.7"/>
    <row r="797" ht="13.95" customHeight="1" x14ac:dyDescent="0.7"/>
    <row r="798" ht="13.95" customHeight="1" x14ac:dyDescent="0.7"/>
    <row r="799" ht="13.95" customHeight="1" x14ac:dyDescent="0.7"/>
    <row r="800" ht="13.95" customHeight="1" x14ac:dyDescent="0.7"/>
    <row r="801" ht="13.95" customHeight="1" x14ac:dyDescent="0.7"/>
    <row r="802" ht="13.95" customHeight="1" x14ac:dyDescent="0.7"/>
    <row r="803" ht="13.95" customHeight="1" x14ac:dyDescent="0.7"/>
    <row r="804" ht="13.95" customHeight="1" x14ac:dyDescent="0.7"/>
    <row r="805" ht="13.95" customHeight="1" x14ac:dyDescent="0.7"/>
    <row r="806" ht="13.95" customHeight="1" x14ac:dyDescent="0.7"/>
    <row r="807" ht="13.95" customHeight="1" x14ac:dyDescent="0.7"/>
    <row r="808" ht="13.95" customHeight="1" x14ac:dyDescent="0.7"/>
    <row r="809" ht="13.95" customHeight="1" x14ac:dyDescent="0.7"/>
    <row r="810" ht="13.95" customHeight="1" x14ac:dyDescent="0.7"/>
    <row r="811" ht="13.95" customHeight="1" x14ac:dyDescent="0.7"/>
    <row r="812" ht="13.95" customHeight="1" x14ac:dyDescent="0.7"/>
    <row r="813" ht="13.95" customHeight="1" x14ac:dyDescent="0.7"/>
    <row r="814" ht="13.95" customHeight="1" x14ac:dyDescent="0.7"/>
    <row r="815" ht="13.95" customHeight="1" x14ac:dyDescent="0.7"/>
    <row r="816" ht="13.95" customHeight="1" x14ac:dyDescent="0.7"/>
    <row r="817" ht="13.95" customHeight="1" x14ac:dyDescent="0.7"/>
    <row r="818" ht="13.95" customHeight="1" x14ac:dyDescent="0.7"/>
    <row r="819" ht="13.95" customHeight="1" x14ac:dyDescent="0.7"/>
    <row r="820" ht="13.95" customHeight="1" x14ac:dyDescent="0.7"/>
    <row r="821" ht="13.95" customHeight="1" x14ac:dyDescent="0.7"/>
    <row r="822" ht="13.95" customHeight="1" x14ac:dyDescent="0.7"/>
    <row r="823" ht="13.95" customHeight="1" x14ac:dyDescent="0.7"/>
    <row r="824" ht="13.95" customHeight="1" x14ac:dyDescent="0.7"/>
    <row r="825" ht="13.95" customHeight="1" x14ac:dyDescent="0.7"/>
    <row r="826" ht="13.95" customHeight="1" x14ac:dyDescent="0.7"/>
    <row r="827" ht="13.95" customHeight="1" x14ac:dyDescent="0.7"/>
    <row r="828" ht="13.95" customHeight="1" x14ac:dyDescent="0.7"/>
    <row r="829" ht="13.95" customHeight="1" x14ac:dyDescent="0.7"/>
    <row r="830" ht="13.95" customHeight="1" x14ac:dyDescent="0.7"/>
    <row r="831" ht="13.95" customHeight="1" x14ac:dyDescent="0.7"/>
    <row r="832" ht="13.95" customHeight="1" x14ac:dyDescent="0.7"/>
    <row r="833" ht="13.95" customHeight="1" x14ac:dyDescent="0.7"/>
    <row r="834" ht="13.95" customHeight="1" x14ac:dyDescent="0.7"/>
    <row r="835" ht="13.95" customHeight="1" x14ac:dyDescent="0.7"/>
    <row r="836" ht="13.95" customHeight="1" x14ac:dyDescent="0.7"/>
    <row r="837" ht="13.95" customHeight="1" x14ac:dyDescent="0.7"/>
    <row r="838" ht="13.95" customHeight="1" x14ac:dyDescent="0.7"/>
    <row r="839" ht="13.95" customHeight="1" x14ac:dyDescent="0.7"/>
    <row r="840" ht="13.95" customHeight="1" x14ac:dyDescent="0.7"/>
    <row r="841" ht="13.95" customHeight="1" x14ac:dyDescent="0.7"/>
    <row r="842" ht="13.95" customHeight="1" x14ac:dyDescent="0.7"/>
    <row r="843" ht="13.95" customHeight="1" x14ac:dyDescent="0.7"/>
    <row r="844" ht="13.95" customHeight="1" x14ac:dyDescent="0.7"/>
    <row r="845" ht="13.95" customHeight="1" x14ac:dyDescent="0.7"/>
    <row r="846" ht="13.95" customHeight="1" x14ac:dyDescent="0.7"/>
    <row r="847" ht="13.95" customHeight="1" x14ac:dyDescent="0.7"/>
    <row r="848" ht="13.95" customHeight="1" x14ac:dyDescent="0.7"/>
    <row r="849" ht="13.95" customHeight="1" x14ac:dyDescent="0.7"/>
    <row r="850" ht="13.95" customHeight="1" x14ac:dyDescent="0.7"/>
    <row r="851" ht="13.95" customHeight="1" x14ac:dyDescent="0.7"/>
    <row r="852" ht="13.95" customHeight="1" x14ac:dyDescent="0.7"/>
    <row r="853" ht="13.95" customHeight="1" x14ac:dyDescent="0.7"/>
    <row r="854" ht="13.95" customHeight="1" x14ac:dyDescent="0.7"/>
    <row r="855" ht="13.95" customHeight="1" x14ac:dyDescent="0.7"/>
    <row r="856" ht="13.95" customHeight="1" x14ac:dyDescent="0.7"/>
    <row r="857" ht="13.95" customHeight="1" x14ac:dyDescent="0.7"/>
    <row r="858" ht="13.95" customHeight="1" x14ac:dyDescent="0.7"/>
    <row r="859" ht="13.95" customHeight="1" x14ac:dyDescent="0.7"/>
    <row r="860" ht="13.95" customHeight="1" x14ac:dyDescent="0.7"/>
    <row r="861" ht="13.95" customHeight="1" x14ac:dyDescent="0.7"/>
    <row r="862" ht="13.95" customHeight="1" x14ac:dyDescent="0.7"/>
    <row r="863" ht="13.95" customHeight="1" x14ac:dyDescent="0.7"/>
    <row r="864" ht="13.95" customHeight="1" x14ac:dyDescent="0.7"/>
    <row r="865" ht="13.95" customHeight="1" x14ac:dyDescent="0.7"/>
    <row r="866" ht="13.95" customHeight="1" x14ac:dyDescent="0.7"/>
    <row r="867" ht="13.95" customHeight="1" x14ac:dyDescent="0.7"/>
    <row r="868" ht="13.95" customHeight="1" x14ac:dyDescent="0.7"/>
    <row r="869" ht="13.95" customHeight="1" x14ac:dyDescent="0.7"/>
    <row r="870" ht="13.95" customHeight="1" x14ac:dyDescent="0.7"/>
    <row r="871" ht="13.95" customHeight="1" x14ac:dyDescent="0.7"/>
    <row r="872" ht="13.95" customHeight="1" x14ac:dyDescent="0.7"/>
    <row r="873" ht="13.95" customHeight="1" x14ac:dyDescent="0.7"/>
    <row r="874" ht="13.95" customHeight="1" x14ac:dyDescent="0.7"/>
    <row r="875" ht="13.95" customHeight="1" x14ac:dyDescent="0.7"/>
    <row r="876" ht="13.95" customHeight="1" x14ac:dyDescent="0.7"/>
    <row r="877" ht="13.95" customHeight="1" x14ac:dyDescent="0.7"/>
    <row r="878" ht="13.95" customHeight="1" x14ac:dyDescent="0.7"/>
    <row r="879" ht="13.95" customHeight="1" x14ac:dyDescent="0.7"/>
    <row r="880" ht="13.95" customHeight="1" x14ac:dyDescent="0.7"/>
    <row r="881" ht="13.95" customHeight="1" x14ac:dyDescent="0.7"/>
    <row r="882" ht="13.95" customHeight="1" x14ac:dyDescent="0.7"/>
    <row r="883" ht="13.95" customHeight="1" x14ac:dyDescent="0.7"/>
    <row r="884" ht="13.95" customHeight="1" x14ac:dyDescent="0.7"/>
    <row r="885" ht="13.95" customHeight="1" x14ac:dyDescent="0.7"/>
    <row r="886" ht="13.95" customHeight="1" x14ac:dyDescent="0.7"/>
    <row r="887" ht="13.95" customHeight="1" x14ac:dyDescent="0.7"/>
    <row r="888" ht="13.95" customHeight="1" x14ac:dyDescent="0.7"/>
    <row r="889" ht="13.95" customHeight="1" x14ac:dyDescent="0.7"/>
    <row r="890" ht="13.95" customHeight="1" x14ac:dyDescent="0.7"/>
    <row r="891" ht="13.95" customHeight="1" x14ac:dyDescent="0.7"/>
    <row r="892" ht="13.95" customHeight="1" x14ac:dyDescent="0.7"/>
    <row r="893" ht="13.95" customHeight="1" x14ac:dyDescent="0.7"/>
    <row r="894" ht="13.95" customHeight="1" x14ac:dyDescent="0.7"/>
    <row r="895" ht="13.95" customHeight="1" x14ac:dyDescent="0.7"/>
    <row r="896" ht="13.95" customHeight="1" x14ac:dyDescent="0.7"/>
    <row r="897" ht="13.95" customHeight="1" x14ac:dyDescent="0.7"/>
    <row r="898" ht="13.95" customHeight="1" x14ac:dyDescent="0.7"/>
    <row r="899" ht="13.95" customHeight="1" x14ac:dyDescent="0.7"/>
    <row r="900" ht="13.95" customHeight="1" x14ac:dyDescent="0.7"/>
    <row r="901" ht="13.95" customHeight="1" x14ac:dyDescent="0.7"/>
    <row r="902" ht="13.95" customHeight="1" x14ac:dyDescent="0.7"/>
    <row r="903" ht="13.95" customHeight="1" x14ac:dyDescent="0.7"/>
    <row r="904" ht="13.95" customHeight="1" x14ac:dyDescent="0.7"/>
    <row r="905" ht="13.95" customHeight="1" x14ac:dyDescent="0.7"/>
    <row r="906" ht="13.95" customHeight="1" x14ac:dyDescent="0.7"/>
    <row r="907" ht="13.95" customHeight="1" x14ac:dyDescent="0.7"/>
    <row r="908" ht="13.95" customHeight="1" x14ac:dyDescent="0.7"/>
    <row r="909" ht="13.95" customHeight="1" x14ac:dyDescent="0.7"/>
    <row r="910" ht="13.95" customHeight="1" x14ac:dyDescent="0.7"/>
    <row r="911" ht="13.95" customHeight="1" x14ac:dyDescent="0.7"/>
    <row r="912" ht="13.95" customHeight="1" x14ac:dyDescent="0.7"/>
    <row r="913" ht="13.95" customHeight="1" x14ac:dyDescent="0.7"/>
    <row r="914" ht="13.95" customHeight="1" x14ac:dyDescent="0.7"/>
    <row r="915" ht="13.95" customHeight="1" x14ac:dyDescent="0.7"/>
    <row r="916" ht="13.95" customHeight="1" x14ac:dyDescent="0.7"/>
    <row r="917" ht="13.95" customHeight="1" x14ac:dyDescent="0.7"/>
    <row r="918" ht="13.95" customHeight="1" x14ac:dyDescent="0.7"/>
    <row r="919" ht="13.95" customHeight="1" x14ac:dyDescent="0.7"/>
    <row r="920" ht="13.95" customHeight="1" x14ac:dyDescent="0.7"/>
    <row r="921" ht="13.95" customHeight="1" x14ac:dyDescent="0.7"/>
    <row r="922" ht="13.95" customHeight="1" x14ac:dyDescent="0.7"/>
    <row r="923" ht="13.95" customHeight="1" x14ac:dyDescent="0.7"/>
    <row r="924" ht="13.95" customHeight="1" x14ac:dyDescent="0.7"/>
    <row r="925" ht="13.95" customHeight="1" x14ac:dyDescent="0.7"/>
    <row r="926" ht="13.95" customHeight="1" x14ac:dyDescent="0.7"/>
    <row r="927" ht="13.95" customHeight="1" x14ac:dyDescent="0.7"/>
    <row r="928" ht="13.95" customHeight="1" x14ac:dyDescent="0.7"/>
    <row r="929" ht="13.95" customHeight="1" x14ac:dyDescent="0.7"/>
    <row r="930" ht="13.95" customHeight="1" x14ac:dyDescent="0.7"/>
    <row r="931" ht="13.95" customHeight="1" x14ac:dyDescent="0.7"/>
    <row r="932" ht="13.95" customHeight="1" x14ac:dyDescent="0.7"/>
    <row r="933" ht="13.95" customHeight="1" x14ac:dyDescent="0.7"/>
    <row r="934" ht="13.95" customHeight="1" x14ac:dyDescent="0.7"/>
    <row r="935" ht="13.95" customHeight="1" x14ac:dyDescent="0.7"/>
    <row r="936" ht="13.95" customHeight="1" x14ac:dyDescent="0.7"/>
    <row r="937" ht="13.95" customHeight="1" x14ac:dyDescent="0.7"/>
    <row r="938" ht="13.95" customHeight="1" x14ac:dyDescent="0.7"/>
    <row r="939" ht="13.95" customHeight="1" x14ac:dyDescent="0.7"/>
    <row r="940" ht="13.95" customHeight="1" x14ac:dyDescent="0.7"/>
    <row r="941" ht="13.95" customHeight="1" x14ac:dyDescent="0.7"/>
    <row r="942" ht="13.95" customHeight="1" x14ac:dyDescent="0.7"/>
    <row r="943" ht="13.95" customHeight="1" x14ac:dyDescent="0.7"/>
    <row r="944" ht="13.95" customHeight="1" x14ac:dyDescent="0.7"/>
    <row r="945" ht="13.95" customHeight="1" x14ac:dyDescent="0.7"/>
    <row r="946" ht="13.95" customHeight="1" x14ac:dyDescent="0.7"/>
    <row r="947" ht="13.95" customHeight="1" x14ac:dyDescent="0.7"/>
    <row r="948" ht="13.95" customHeight="1" x14ac:dyDescent="0.7"/>
    <row r="949" ht="13.95" customHeight="1" x14ac:dyDescent="0.7"/>
    <row r="950" ht="13.95" customHeight="1" x14ac:dyDescent="0.7"/>
    <row r="951" ht="13.95" customHeight="1" x14ac:dyDescent="0.7"/>
    <row r="952" ht="13.95" customHeight="1" x14ac:dyDescent="0.7"/>
    <row r="953" ht="13.95" customHeight="1" x14ac:dyDescent="0.7"/>
    <row r="954" ht="13.95" customHeight="1" x14ac:dyDescent="0.7"/>
    <row r="955" ht="13.95" customHeight="1" x14ac:dyDescent="0.7"/>
    <row r="956" ht="13.95" customHeight="1" x14ac:dyDescent="0.7"/>
    <row r="957" ht="13.95" customHeight="1" x14ac:dyDescent="0.7"/>
    <row r="958" ht="13.95" customHeight="1" x14ac:dyDescent="0.7"/>
    <row r="959" ht="13.95" customHeight="1" x14ac:dyDescent="0.7"/>
    <row r="960" ht="13.95" customHeight="1" x14ac:dyDescent="0.7"/>
    <row r="961" ht="13.95" customHeight="1" x14ac:dyDescent="0.7"/>
    <row r="962" ht="13.95" customHeight="1" x14ac:dyDescent="0.7"/>
    <row r="963" ht="13.95" customHeight="1" x14ac:dyDescent="0.7"/>
    <row r="964" ht="13.95" customHeight="1" x14ac:dyDescent="0.7"/>
    <row r="965" ht="13.95" customHeight="1" x14ac:dyDescent="0.7"/>
    <row r="966" ht="13.95" customHeight="1" x14ac:dyDescent="0.7"/>
    <row r="967" ht="13.95" customHeight="1" x14ac:dyDescent="0.7"/>
    <row r="968" ht="13.95" customHeight="1" x14ac:dyDescent="0.7"/>
    <row r="969" ht="13.95" customHeight="1" x14ac:dyDescent="0.7"/>
    <row r="970" ht="13.95" customHeight="1" x14ac:dyDescent="0.7"/>
    <row r="971" ht="13.95" customHeight="1" x14ac:dyDescent="0.7"/>
    <row r="972" ht="13.95" customHeight="1" x14ac:dyDescent="0.7"/>
    <row r="973" ht="13.95" customHeight="1" x14ac:dyDescent="0.7"/>
    <row r="974" ht="13.95" customHeight="1" x14ac:dyDescent="0.7"/>
    <row r="975" ht="13.95" customHeight="1" x14ac:dyDescent="0.7"/>
    <row r="976" ht="13.95" customHeight="1" x14ac:dyDescent="0.7"/>
    <row r="977" ht="13.95" customHeight="1" x14ac:dyDescent="0.7"/>
    <row r="978" ht="13.95" customHeight="1" x14ac:dyDescent="0.7"/>
    <row r="979" ht="13.95" customHeight="1" x14ac:dyDescent="0.7"/>
    <row r="980" ht="13.95" customHeight="1" x14ac:dyDescent="0.7"/>
    <row r="981" ht="13.95" customHeight="1" x14ac:dyDescent="0.7"/>
    <row r="982" ht="13.95" customHeight="1" x14ac:dyDescent="0.7"/>
    <row r="983" ht="13.95" customHeight="1" x14ac:dyDescent="0.7"/>
    <row r="984" ht="13.95" customHeight="1" x14ac:dyDescent="0.7"/>
    <row r="985" ht="13.95" customHeight="1" x14ac:dyDescent="0.7"/>
    <row r="986" ht="13.95" customHeight="1" x14ac:dyDescent="0.7"/>
    <row r="987" ht="13.95" customHeight="1" x14ac:dyDescent="0.7"/>
    <row r="988" ht="13.95" customHeight="1" x14ac:dyDescent="0.7"/>
    <row r="989" ht="13.95" customHeight="1" x14ac:dyDescent="0.7"/>
    <row r="990" ht="13.95" customHeight="1" x14ac:dyDescent="0.7"/>
    <row r="991" ht="13.95" customHeight="1" x14ac:dyDescent="0.7"/>
    <row r="992" ht="13.95" customHeight="1" x14ac:dyDescent="0.7"/>
    <row r="993" ht="13.95" customHeight="1" x14ac:dyDescent="0.7"/>
    <row r="994" ht="13.95" customHeight="1" x14ac:dyDescent="0.7"/>
    <row r="995" ht="13.95" customHeight="1" x14ac:dyDescent="0.7"/>
    <row r="996" ht="13.95" customHeight="1" x14ac:dyDescent="0.7"/>
    <row r="997" ht="13.95" customHeight="1" x14ac:dyDescent="0.7"/>
    <row r="998" ht="13.95" customHeight="1" x14ac:dyDescent="0.7"/>
    <row r="999" ht="13.95" customHeight="1" x14ac:dyDescent="0.7"/>
  </sheetData>
  <sheetProtection algorithmName="SHA-512" hashValue="unPKrCafmlOVIQnQYp5ZLL8+niMpeJYCzseJdyETA6zAwvRIPgBzC/eWNJeqDbvit5M4E807nf1iYWJbKtp4SA==" saltValue="8XZiB9QIhvioyYnb0lOB5Q==" spinCount="100000" sheet="1" objects="1" scenarios="1"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9" defaultRowHeight="21" customHeight="1" x14ac:dyDescent="0.7"/>
  <cols>
    <col min="1" max="1" width="28.69140625" style="6" customWidth="1"/>
    <col min="2" max="2" width="44.69140625" style="263" customWidth="1"/>
    <col min="3" max="3" width="14.69140625" style="263" customWidth="1"/>
    <col min="4" max="4" width="28.69140625" style="263" customWidth="1"/>
    <col min="5" max="5" width="14.69140625" style="263" customWidth="1"/>
    <col min="6" max="6" width="33.69140625" style="263" customWidth="1"/>
    <col min="7" max="30" width="9" style="265"/>
    <col min="31" max="16384" width="9" style="5"/>
  </cols>
  <sheetData>
    <row r="1" spans="1:30" s="12" customFormat="1" ht="21" customHeight="1" x14ac:dyDescent="0.7">
      <c r="B1" s="20"/>
      <c r="C1" s="20"/>
      <c r="D1" s="20"/>
      <c r="E1" s="20"/>
      <c r="F1" s="20"/>
    </row>
    <row r="2" spans="1:30" s="12" customFormat="1" ht="21" customHeight="1" x14ac:dyDescent="0.7">
      <c r="A2" s="7" t="s">
        <v>4</v>
      </c>
      <c r="B2" s="20"/>
      <c r="C2" s="158"/>
      <c r="D2" s="158"/>
      <c r="E2" s="158"/>
      <c r="F2" s="158"/>
    </row>
    <row r="3" spans="1:30" s="12" customFormat="1" ht="21" customHeight="1" x14ac:dyDescent="0.7">
      <c r="A3" s="93" t="str" cm="1">
        <f t="array" aca="1" ref="A3" ca="1">MID(CELL("filename",A1),FIND("]",CELL("filename",A1))+1,256)</f>
        <v>Assessment Summary</v>
      </c>
      <c r="B3" s="286" t="s">
        <v>1809</v>
      </c>
      <c r="C3" s="158"/>
      <c r="D3" s="158"/>
      <c r="E3" s="158"/>
      <c r="F3" s="158"/>
    </row>
    <row r="4" spans="1:30" s="12" customFormat="1" ht="4.95" customHeight="1" x14ac:dyDescent="0.7">
      <c r="B4" s="20"/>
      <c r="C4" s="20"/>
      <c r="D4" s="20"/>
      <c r="E4" s="20"/>
      <c r="F4" s="20"/>
    </row>
    <row r="5" spans="1:30" s="50" customFormat="1" ht="43.05" customHeight="1" x14ac:dyDescent="0.7">
      <c r="A5" s="282" t="s">
        <v>36</v>
      </c>
      <c r="B5" s="282" t="s">
        <v>769</v>
      </c>
      <c r="C5" s="282" t="s">
        <v>770</v>
      </c>
      <c r="D5" s="283" t="s">
        <v>773</v>
      </c>
      <c r="E5" s="283" t="s">
        <v>774</v>
      </c>
      <c r="F5" s="282" t="s">
        <v>133</v>
      </c>
    </row>
    <row r="6" spans="1:30" ht="4.95" customHeight="1" x14ac:dyDescent="0.7">
      <c r="A6" s="368" t="s">
        <v>1696</v>
      </c>
      <c r="B6" s="365" t="s">
        <v>779</v>
      </c>
      <c r="C6" s="375">
        <v>2</v>
      </c>
      <c r="D6" s="361" t="s">
        <v>780</v>
      </c>
      <c r="E6" s="374">
        <v>2.1</v>
      </c>
      <c r="F6" s="371"/>
      <c r="AC6" s="5"/>
      <c r="AD6" s="5"/>
    </row>
    <row r="7" spans="1:30" ht="4.95" customHeight="1" x14ac:dyDescent="0.7">
      <c r="A7" s="368"/>
      <c r="B7" s="365"/>
      <c r="C7" s="376"/>
      <c r="D7" s="361"/>
      <c r="E7" s="374"/>
      <c r="F7" s="372"/>
      <c r="AC7" s="5"/>
      <c r="AD7" s="5"/>
    </row>
    <row r="8" spans="1:30" ht="4.95" customHeight="1" x14ac:dyDescent="0.7">
      <c r="A8" s="368"/>
      <c r="B8" s="365"/>
      <c r="C8" s="376"/>
      <c r="D8" s="361"/>
      <c r="E8" s="374"/>
      <c r="F8" s="372"/>
      <c r="AC8" s="5"/>
      <c r="AD8" s="5"/>
    </row>
    <row r="9" spans="1:30" ht="4.95" customHeight="1" x14ac:dyDescent="0.7">
      <c r="A9" s="368"/>
      <c r="B9" s="365"/>
      <c r="C9" s="377"/>
      <c r="D9" s="361"/>
      <c r="E9" s="374"/>
      <c r="F9" s="372"/>
      <c r="AC9" s="5"/>
      <c r="AD9" s="5"/>
    </row>
    <row r="10" spans="1:30" ht="4.95" customHeight="1" x14ac:dyDescent="0.7">
      <c r="A10" s="368"/>
      <c r="B10" s="365" t="s">
        <v>787</v>
      </c>
      <c r="C10" s="375">
        <v>2.2000000000000002</v>
      </c>
      <c r="D10" s="361"/>
      <c r="E10" s="374"/>
      <c r="F10" s="372"/>
      <c r="AC10" s="5"/>
      <c r="AD10" s="5"/>
    </row>
    <row r="11" spans="1:30" ht="4.95" customHeight="1" x14ac:dyDescent="0.7">
      <c r="A11" s="368"/>
      <c r="B11" s="365"/>
      <c r="C11" s="376"/>
      <c r="D11" s="361"/>
      <c r="E11" s="374"/>
      <c r="F11" s="372"/>
      <c r="AC11" s="5"/>
      <c r="AD11" s="5"/>
    </row>
    <row r="12" spans="1:30" ht="4.95" customHeight="1" x14ac:dyDescent="0.7">
      <c r="A12" s="368"/>
      <c r="B12" s="365"/>
      <c r="C12" s="376"/>
      <c r="D12" s="361"/>
      <c r="E12" s="374"/>
      <c r="F12" s="372"/>
      <c r="AC12" s="5"/>
      <c r="AD12" s="5"/>
    </row>
    <row r="13" spans="1:30" ht="4.95" customHeight="1" x14ac:dyDescent="0.7">
      <c r="A13" s="368"/>
      <c r="B13" s="365"/>
      <c r="C13" s="376"/>
      <c r="D13" s="361"/>
      <c r="E13" s="374"/>
      <c r="F13" s="372"/>
      <c r="AC13" s="5"/>
      <c r="AD13" s="5"/>
    </row>
    <row r="14" spans="1:30" ht="4.95" customHeight="1" x14ac:dyDescent="0.7">
      <c r="A14" s="368"/>
      <c r="B14" s="365"/>
      <c r="C14" s="376"/>
      <c r="D14" s="361"/>
      <c r="E14" s="374"/>
      <c r="F14" s="372"/>
      <c r="AC14" s="5"/>
      <c r="AD14" s="5"/>
    </row>
    <row r="15" spans="1:30" ht="4.95" customHeight="1" x14ac:dyDescent="0.7">
      <c r="A15" s="368"/>
      <c r="B15" s="365"/>
      <c r="C15" s="376"/>
      <c r="D15" s="361"/>
      <c r="E15" s="374"/>
      <c r="F15" s="372"/>
      <c r="AC15" s="5"/>
      <c r="AD15" s="5"/>
    </row>
    <row r="16" spans="1:30" ht="4.95" customHeight="1" x14ac:dyDescent="0.7">
      <c r="A16" s="368"/>
      <c r="B16" s="365"/>
      <c r="C16" s="377"/>
      <c r="D16" s="361"/>
      <c r="E16" s="374"/>
      <c r="F16" s="372"/>
      <c r="AC16" s="5"/>
      <c r="AD16" s="5"/>
    </row>
    <row r="17" spans="1:30" ht="4.95" customHeight="1" x14ac:dyDescent="0.7">
      <c r="A17" s="368"/>
      <c r="B17" s="365" t="s">
        <v>791</v>
      </c>
      <c r="C17" s="375">
        <v>2.2000000000000002</v>
      </c>
      <c r="D17" s="361"/>
      <c r="E17" s="374"/>
      <c r="F17" s="372"/>
      <c r="AC17" s="5"/>
      <c r="AD17" s="5"/>
    </row>
    <row r="18" spans="1:30" ht="4.95" customHeight="1" x14ac:dyDescent="0.7">
      <c r="A18" s="368"/>
      <c r="B18" s="365"/>
      <c r="C18" s="376"/>
      <c r="D18" s="361"/>
      <c r="E18" s="374"/>
      <c r="F18" s="372"/>
      <c r="AC18" s="5"/>
      <c r="AD18" s="5"/>
    </row>
    <row r="19" spans="1:30" ht="4.95" customHeight="1" x14ac:dyDescent="0.7">
      <c r="A19" s="368"/>
      <c r="B19" s="365"/>
      <c r="C19" s="377"/>
      <c r="D19" s="361"/>
      <c r="E19" s="374"/>
      <c r="F19" s="372"/>
      <c r="AC19" s="5"/>
      <c r="AD19" s="5"/>
    </row>
    <row r="20" spans="1:30" ht="4.95" customHeight="1" x14ac:dyDescent="0.7">
      <c r="A20" s="368"/>
      <c r="B20" s="365" t="s">
        <v>792</v>
      </c>
      <c r="C20" s="375">
        <v>2.5</v>
      </c>
      <c r="D20" s="361" t="s">
        <v>793</v>
      </c>
      <c r="E20" s="374">
        <v>2.38</v>
      </c>
      <c r="F20" s="372"/>
      <c r="AC20" s="5"/>
      <c r="AD20" s="5"/>
    </row>
    <row r="21" spans="1:30" ht="4.95" customHeight="1" x14ac:dyDescent="0.7">
      <c r="A21" s="368"/>
      <c r="B21" s="365"/>
      <c r="C21" s="376"/>
      <c r="D21" s="361"/>
      <c r="E21" s="374"/>
      <c r="F21" s="372"/>
      <c r="AC21" s="5"/>
      <c r="AD21" s="5"/>
    </row>
    <row r="22" spans="1:30" ht="4.95" customHeight="1" x14ac:dyDescent="0.7">
      <c r="A22" s="368"/>
      <c r="B22" s="365"/>
      <c r="C22" s="376"/>
      <c r="D22" s="361"/>
      <c r="E22" s="374"/>
      <c r="F22" s="372"/>
      <c r="AC22" s="5"/>
      <c r="AD22" s="5"/>
    </row>
    <row r="23" spans="1:30" ht="4.95" customHeight="1" x14ac:dyDescent="0.7">
      <c r="A23" s="368"/>
      <c r="B23" s="365"/>
      <c r="C23" s="377"/>
      <c r="D23" s="361"/>
      <c r="E23" s="374"/>
      <c r="F23" s="372"/>
      <c r="AC23" s="5"/>
      <c r="AD23" s="5"/>
    </row>
    <row r="24" spans="1:30" ht="4.95" customHeight="1" x14ac:dyDescent="0.7">
      <c r="A24" s="368"/>
      <c r="B24" s="365" t="s">
        <v>797</v>
      </c>
      <c r="C24" s="375">
        <v>2.2000000000000002</v>
      </c>
      <c r="D24" s="361"/>
      <c r="E24" s="374"/>
      <c r="F24" s="372"/>
      <c r="AC24" s="5"/>
      <c r="AD24" s="5"/>
    </row>
    <row r="25" spans="1:30" ht="4.95" customHeight="1" x14ac:dyDescent="0.7">
      <c r="A25" s="368"/>
      <c r="B25" s="365"/>
      <c r="C25" s="376"/>
      <c r="D25" s="361"/>
      <c r="E25" s="374"/>
      <c r="F25" s="372"/>
      <c r="AC25" s="5"/>
      <c r="AD25" s="5"/>
    </row>
    <row r="26" spans="1:30" ht="4.95" customHeight="1" x14ac:dyDescent="0.7">
      <c r="A26" s="368"/>
      <c r="B26" s="365"/>
      <c r="C26" s="376"/>
      <c r="D26" s="361"/>
      <c r="E26" s="374"/>
      <c r="F26" s="372"/>
      <c r="AC26" s="5"/>
      <c r="AD26" s="5"/>
    </row>
    <row r="27" spans="1:30" ht="4.95" customHeight="1" x14ac:dyDescent="0.7">
      <c r="A27" s="368"/>
      <c r="B27" s="365"/>
      <c r="C27" s="376"/>
      <c r="D27" s="361"/>
      <c r="E27" s="374"/>
      <c r="F27" s="372"/>
      <c r="AC27" s="5"/>
      <c r="AD27" s="5"/>
    </row>
    <row r="28" spans="1:30" ht="4.95" customHeight="1" x14ac:dyDescent="0.7">
      <c r="A28" s="368"/>
      <c r="B28" s="365"/>
      <c r="C28" s="377"/>
      <c r="D28" s="361"/>
      <c r="E28" s="374"/>
      <c r="F28" s="372"/>
      <c r="AC28" s="5"/>
      <c r="AD28" s="5"/>
    </row>
    <row r="29" spans="1:30" ht="4.95" customHeight="1" x14ac:dyDescent="0.7">
      <c r="A29" s="368" t="s">
        <v>1697</v>
      </c>
      <c r="B29" s="365" t="s">
        <v>1003</v>
      </c>
      <c r="C29" s="367">
        <v>2.4000000000000004</v>
      </c>
      <c r="D29" s="361" t="s">
        <v>1005</v>
      </c>
      <c r="E29" s="374">
        <v>2.7</v>
      </c>
      <c r="F29" s="372"/>
    </row>
    <row r="30" spans="1:30" ht="4.95" customHeight="1" x14ac:dyDescent="0.7">
      <c r="A30" s="369"/>
      <c r="B30" s="365"/>
      <c r="C30" s="367"/>
      <c r="D30" s="361"/>
      <c r="E30" s="374"/>
      <c r="F30" s="372"/>
    </row>
    <row r="31" spans="1:30" ht="4.95" customHeight="1" x14ac:dyDescent="0.7">
      <c r="A31" s="369"/>
      <c r="B31" s="365"/>
      <c r="C31" s="367"/>
      <c r="D31" s="361"/>
      <c r="E31" s="374"/>
      <c r="F31" s="372"/>
    </row>
    <row r="32" spans="1:30" ht="4.95" customHeight="1" x14ac:dyDescent="0.7">
      <c r="A32" s="369"/>
      <c r="B32" s="365"/>
      <c r="C32" s="367"/>
      <c r="D32" s="361"/>
      <c r="E32" s="374"/>
      <c r="F32" s="372"/>
    </row>
    <row r="33" spans="1:6" ht="4.95" customHeight="1" x14ac:dyDescent="0.7">
      <c r="A33" s="369"/>
      <c r="B33" s="365"/>
      <c r="C33" s="367"/>
      <c r="D33" s="361"/>
      <c r="E33" s="374"/>
      <c r="F33" s="372"/>
    </row>
    <row r="34" spans="1:6" ht="4.95" customHeight="1" x14ac:dyDescent="0.7">
      <c r="A34" s="369"/>
      <c r="B34" s="365" t="s">
        <v>1010</v>
      </c>
      <c r="C34" s="367">
        <v>3</v>
      </c>
      <c r="D34" s="361"/>
      <c r="E34" s="374"/>
      <c r="F34" s="372"/>
    </row>
    <row r="35" spans="1:6" ht="4.95" customHeight="1" x14ac:dyDescent="0.7">
      <c r="A35" s="369"/>
      <c r="B35" s="365"/>
      <c r="C35" s="367"/>
      <c r="D35" s="361"/>
      <c r="E35" s="374"/>
      <c r="F35" s="372"/>
    </row>
    <row r="36" spans="1:6" ht="4.95" customHeight="1" x14ac:dyDescent="0.7">
      <c r="A36" s="369"/>
      <c r="B36" s="365"/>
      <c r="C36" s="367"/>
      <c r="D36" s="361"/>
      <c r="E36" s="374"/>
      <c r="F36" s="372"/>
    </row>
    <row r="37" spans="1:6" ht="4.95" customHeight="1" x14ac:dyDescent="0.7">
      <c r="A37" s="369"/>
      <c r="B37" s="365"/>
      <c r="C37" s="367"/>
      <c r="D37" s="361"/>
      <c r="E37" s="374"/>
      <c r="F37" s="372"/>
    </row>
    <row r="38" spans="1:6" ht="4.95" customHeight="1" x14ac:dyDescent="0.7">
      <c r="A38" s="369"/>
      <c r="B38" s="365"/>
      <c r="C38" s="367"/>
      <c r="D38" s="361"/>
      <c r="E38" s="374"/>
      <c r="F38" s="372"/>
    </row>
    <row r="39" spans="1:6" ht="4.95" customHeight="1" x14ac:dyDescent="0.7">
      <c r="A39" s="369"/>
      <c r="B39" s="365"/>
      <c r="C39" s="367"/>
      <c r="D39" s="361"/>
      <c r="E39" s="374"/>
      <c r="F39" s="372"/>
    </row>
    <row r="40" spans="1:6" ht="4.95" customHeight="1" x14ac:dyDescent="0.7">
      <c r="A40" s="369"/>
      <c r="B40" s="365" t="s">
        <v>1013</v>
      </c>
      <c r="C40" s="367">
        <v>2.8000000000000003</v>
      </c>
      <c r="D40" s="361" t="s">
        <v>1015</v>
      </c>
      <c r="E40" s="374">
        <v>2.8000000000000003</v>
      </c>
      <c r="F40" s="372"/>
    </row>
    <row r="41" spans="1:6" ht="4.95" customHeight="1" x14ac:dyDescent="0.7">
      <c r="A41" s="369"/>
      <c r="B41" s="365"/>
      <c r="C41" s="367"/>
      <c r="D41" s="361"/>
      <c r="E41" s="374"/>
      <c r="F41" s="372"/>
    </row>
    <row r="42" spans="1:6" ht="4.95" customHeight="1" x14ac:dyDescent="0.7">
      <c r="A42" s="369"/>
      <c r="B42" s="365"/>
      <c r="C42" s="367"/>
      <c r="D42" s="361"/>
      <c r="E42" s="374"/>
      <c r="F42" s="372"/>
    </row>
    <row r="43" spans="1:6" ht="4.95" customHeight="1" x14ac:dyDescent="0.7">
      <c r="A43" s="369"/>
      <c r="B43" s="365"/>
      <c r="C43" s="367"/>
      <c r="D43" s="361"/>
      <c r="E43" s="374"/>
      <c r="F43" s="372"/>
    </row>
    <row r="44" spans="1:6" ht="4.95" customHeight="1" x14ac:dyDescent="0.7">
      <c r="A44" s="369"/>
      <c r="B44" s="365"/>
      <c r="C44" s="367"/>
      <c r="D44" s="361"/>
      <c r="E44" s="374"/>
      <c r="F44" s="372"/>
    </row>
    <row r="45" spans="1:6" ht="4.95" customHeight="1" x14ac:dyDescent="0.7">
      <c r="A45" s="369"/>
      <c r="B45" s="365"/>
      <c r="C45" s="367"/>
      <c r="D45" s="361"/>
      <c r="E45" s="374"/>
      <c r="F45" s="372"/>
    </row>
    <row r="46" spans="1:6" ht="4.95" customHeight="1" x14ac:dyDescent="0.7">
      <c r="A46" s="369"/>
      <c r="B46" s="365"/>
      <c r="C46" s="367"/>
      <c r="D46" s="361"/>
      <c r="E46" s="374"/>
      <c r="F46" s="372"/>
    </row>
    <row r="47" spans="1:6" ht="4.95" customHeight="1" x14ac:dyDescent="0.7">
      <c r="A47" s="369"/>
      <c r="B47" s="365" t="s">
        <v>1016</v>
      </c>
      <c r="C47" s="367">
        <v>2.6</v>
      </c>
      <c r="D47" s="361" t="s">
        <v>1018</v>
      </c>
      <c r="E47" s="374">
        <v>2.6</v>
      </c>
      <c r="F47" s="372"/>
    </row>
    <row r="48" spans="1:6" ht="4.95" customHeight="1" x14ac:dyDescent="0.7">
      <c r="A48" s="369"/>
      <c r="B48" s="365"/>
      <c r="C48" s="367"/>
      <c r="D48" s="361"/>
      <c r="E48" s="374"/>
      <c r="F48" s="372"/>
    </row>
    <row r="49" spans="1:6" ht="4.95" customHeight="1" x14ac:dyDescent="0.7">
      <c r="A49" s="369"/>
      <c r="B49" s="365"/>
      <c r="C49" s="367"/>
      <c r="D49" s="361"/>
      <c r="E49" s="374"/>
      <c r="F49" s="372"/>
    </row>
    <row r="50" spans="1:6" ht="4.95" customHeight="1" x14ac:dyDescent="0.7">
      <c r="A50" s="369"/>
      <c r="B50" s="365"/>
      <c r="C50" s="367"/>
      <c r="D50" s="361"/>
      <c r="E50" s="374"/>
      <c r="F50" s="372"/>
    </row>
    <row r="51" spans="1:6" ht="4.95" customHeight="1" x14ac:dyDescent="0.7">
      <c r="A51" s="369"/>
      <c r="B51" s="365"/>
      <c r="C51" s="367"/>
      <c r="D51" s="361"/>
      <c r="E51" s="374"/>
      <c r="F51" s="372"/>
    </row>
    <row r="52" spans="1:6" ht="4.95" customHeight="1" x14ac:dyDescent="0.7">
      <c r="A52" s="369"/>
      <c r="B52" s="365"/>
      <c r="C52" s="367"/>
      <c r="D52" s="361"/>
      <c r="E52" s="374"/>
      <c r="F52" s="372"/>
    </row>
    <row r="53" spans="1:6" ht="4.95" customHeight="1" x14ac:dyDescent="0.7">
      <c r="A53" s="369"/>
      <c r="B53" s="365"/>
      <c r="C53" s="367"/>
      <c r="D53" s="361"/>
      <c r="E53" s="374"/>
      <c r="F53" s="372"/>
    </row>
    <row r="54" spans="1:6" ht="4.95" customHeight="1" x14ac:dyDescent="0.7">
      <c r="A54" s="369"/>
      <c r="B54" s="365" t="s">
        <v>1022</v>
      </c>
      <c r="C54" s="367">
        <v>2</v>
      </c>
      <c r="D54" s="361" t="s">
        <v>1023</v>
      </c>
      <c r="E54" s="374">
        <v>2.12</v>
      </c>
      <c r="F54" s="372"/>
    </row>
    <row r="55" spans="1:6" ht="4.95" customHeight="1" x14ac:dyDescent="0.7">
      <c r="A55" s="369"/>
      <c r="B55" s="365"/>
      <c r="C55" s="367"/>
      <c r="D55" s="361"/>
      <c r="E55" s="374"/>
      <c r="F55" s="372"/>
    </row>
    <row r="56" spans="1:6" ht="4.95" customHeight="1" x14ac:dyDescent="0.7">
      <c r="A56" s="369"/>
      <c r="B56" s="365" t="s">
        <v>1026</v>
      </c>
      <c r="C56" s="367">
        <v>2.1999999999999997</v>
      </c>
      <c r="D56" s="361"/>
      <c r="E56" s="374"/>
      <c r="F56" s="372"/>
    </row>
    <row r="57" spans="1:6" ht="4.95" customHeight="1" x14ac:dyDescent="0.7">
      <c r="A57" s="369"/>
      <c r="B57" s="365"/>
      <c r="C57" s="367"/>
      <c r="D57" s="361"/>
      <c r="E57" s="374"/>
      <c r="F57" s="372"/>
    </row>
    <row r="58" spans="1:6" ht="4.95" customHeight="1" x14ac:dyDescent="0.7">
      <c r="A58" s="369"/>
      <c r="B58" s="365"/>
      <c r="C58" s="367"/>
      <c r="D58" s="361"/>
      <c r="E58" s="374"/>
      <c r="F58" s="372"/>
    </row>
    <row r="59" spans="1:6" ht="4.95" customHeight="1" x14ac:dyDescent="0.7">
      <c r="A59" s="369"/>
      <c r="B59" s="365"/>
      <c r="C59" s="367"/>
      <c r="D59" s="361"/>
      <c r="E59" s="374"/>
      <c r="F59" s="372"/>
    </row>
    <row r="60" spans="1:6" ht="4.95" customHeight="1" x14ac:dyDescent="0.7">
      <c r="A60" s="369"/>
      <c r="B60" s="365"/>
      <c r="C60" s="367"/>
      <c r="D60" s="361"/>
      <c r="E60" s="374"/>
      <c r="F60" s="372"/>
    </row>
    <row r="61" spans="1:6" ht="4.95" customHeight="1" x14ac:dyDescent="0.7">
      <c r="A61" s="369"/>
      <c r="B61" s="365"/>
      <c r="C61" s="367"/>
      <c r="D61" s="361"/>
      <c r="E61" s="374"/>
      <c r="F61" s="372"/>
    </row>
    <row r="62" spans="1:6" ht="4.95" customHeight="1" x14ac:dyDescent="0.7">
      <c r="A62" s="369"/>
      <c r="B62" s="365"/>
      <c r="C62" s="367"/>
      <c r="D62" s="361"/>
      <c r="E62" s="374"/>
      <c r="F62" s="372"/>
    </row>
    <row r="63" spans="1:6" ht="4.95" customHeight="1" x14ac:dyDescent="0.7">
      <c r="A63" s="369"/>
      <c r="B63" s="365"/>
      <c r="C63" s="367"/>
      <c r="D63" s="361"/>
      <c r="E63" s="374"/>
      <c r="F63" s="372"/>
    </row>
    <row r="64" spans="1:6" ht="4.95" customHeight="1" x14ac:dyDescent="0.7">
      <c r="A64" s="369"/>
      <c r="B64" s="365"/>
      <c r="C64" s="367"/>
      <c r="D64" s="361"/>
      <c r="E64" s="374"/>
      <c r="F64" s="372"/>
    </row>
    <row r="65" spans="1:6" ht="4.95" customHeight="1" x14ac:dyDescent="0.7">
      <c r="A65" s="369"/>
      <c r="B65" s="365" t="s">
        <v>1028</v>
      </c>
      <c r="C65" s="367">
        <v>1</v>
      </c>
      <c r="D65" s="361" t="s">
        <v>1030</v>
      </c>
      <c r="E65" s="374">
        <v>1</v>
      </c>
      <c r="F65" s="372"/>
    </row>
    <row r="66" spans="1:6" ht="4.95" customHeight="1" x14ac:dyDescent="0.7">
      <c r="A66" s="369"/>
      <c r="B66" s="365"/>
      <c r="C66" s="367"/>
      <c r="D66" s="361"/>
      <c r="E66" s="374"/>
      <c r="F66" s="372"/>
    </row>
    <row r="67" spans="1:6" ht="4.95" customHeight="1" x14ac:dyDescent="0.7">
      <c r="A67" s="369"/>
      <c r="B67" s="284" t="s">
        <v>1031</v>
      </c>
      <c r="C67" s="285">
        <v>1</v>
      </c>
      <c r="D67" s="361"/>
      <c r="E67" s="374"/>
      <c r="F67" s="372"/>
    </row>
    <row r="68" spans="1:6" ht="4.95" customHeight="1" x14ac:dyDescent="0.7">
      <c r="A68" s="368" t="s">
        <v>1698</v>
      </c>
      <c r="B68" s="365" t="s">
        <v>1242</v>
      </c>
      <c r="C68" s="367">
        <v>2.2999999999999998</v>
      </c>
      <c r="D68" s="361" t="s">
        <v>1243</v>
      </c>
      <c r="E68" s="374">
        <v>2.5099999999999998</v>
      </c>
      <c r="F68" s="372"/>
    </row>
    <row r="69" spans="1:6" ht="4.95" customHeight="1" x14ac:dyDescent="0.7">
      <c r="A69" s="369"/>
      <c r="B69" s="365"/>
      <c r="C69" s="367"/>
      <c r="D69" s="361"/>
      <c r="E69" s="374"/>
      <c r="F69" s="372"/>
    </row>
    <row r="70" spans="1:6" ht="4.95" customHeight="1" x14ac:dyDescent="0.7">
      <c r="A70" s="369"/>
      <c r="B70" s="365"/>
      <c r="C70" s="367"/>
      <c r="D70" s="361"/>
      <c r="E70" s="374"/>
      <c r="F70" s="372"/>
    </row>
    <row r="71" spans="1:6" ht="4.95" customHeight="1" x14ac:dyDescent="0.7">
      <c r="A71" s="369"/>
      <c r="B71" s="365"/>
      <c r="C71" s="367"/>
      <c r="D71" s="361"/>
      <c r="E71" s="374"/>
      <c r="F71" s="372"/>
    </row>
    <row r="72" spans="1:6" ht="4.95" customHeight="1" x14ac:dyDescent="0.7">
      <c r="A72" s="369"/>
      <c r="B72" s="365"/>
      <c r="C72" s="367"/>
      <c r="D72" s="361"/>
      <c r="E72" s="374"/>
      <c r="F72" s="372"/>
    </row>
    <row r="73" spans="1:6" ht="4.95" customHeight="1" x14ac:dyDescent="0.7">
      <c r="A73" s="369"/>
      <c r="B73" s="365"/>
      <c r="C73" s="367"/>
      <c r="D73" s="361"/>
      <c r="E73" s="374"/>
      <c r="F73" s="372"/>
    </row>
    <row r="74" spans="1:6" ht="4.95" customHeight="1" x14ac:dyDescent="0.7">
      <c r="A74" s="369"/>
      <c r="B74" s="365"/>
      <c r="C74" s="367"/>
      <c r="D74" s="361"/>
      <c r="E74" s="374"/>
      <c r="F74" s="372"/>
    </row>
    <row r="75" spans="1:6" ht="4.95" customHeight="1" x14ac:dyDescent="0.7">
      <c r="A75" s="369"/>
      <c r="B75" s="365"/>
      <c r="C75" s="367"/>
      <c r="D75" s="361"/>
      <c r="E75" s="374"/>
      <c r="F75" s="372"/>
    </row>
    <row r="76" spans="1:6" ht="4.95" customHeight="1" x14ac:dyDescent="0.7">
      <c r="A76" s="369"/>
      <c r="B76" s="365"/>
      <c r="C76" s="367"/>
      <c r="D76" s="361"/>
      <c r="E76" s="374"/>
      <c r="F76" s="372"/>
    </row>
    <row r="77" spans="1:6" ht="4.95" customHeight="1" x14ac:dyDescent="0.7">
      <c r="A77" s="369"/>
      <c r="B77" s="365"/>
      <c r="C77" s="367"/>
      <c r="D77" s="361"/>
      <c r="E77" s="374"/>
      <c r="F77" s="372"/>
    </row>
    <row r="78" spans="1:6" ht="4.95" customHeight="1" x14ac:dyDescent="0.7">
      <c r="A78" s="369"/>
      <c r="B78" s="365" t="s">
        <v>1249</v>
      </c>
      <c r="C78" s="367">
        <v>3</v>
      </c>
      <c r="D78" s="361"/>
      <c r="E78" s="374"/>
      <c r="F78" s="372"/>
    </row>
    <row r="79" spans="1:6" ht="4.95" customHeight="1" x14ac:dyDescent="0.7">
      <c r="A79" s="369"/>
      <c r="B79" s="365"/>
      <c r="C79" s="367"/>
      <c r="D79" s="361"/>
      <c r="E79" s="374"/>
      <c r="F79" s="372"/>
    </row>
    <row r="80" spans="1:6" ht="4.95" customHeight="1" x14ac:dyDescent="0.7">
      <c r="A80" s="369"/>
      <c r="B80" s="365"/>
      <c r="C80" s="367"/>
      <c r="D80" s="361"/>
      <c r="E80" s="374"/>
      <c r="F80" s="372"/>
    </row>
    <row r="81" spans="1:6" ht="4.95" customHeight="1" x14ac:dyDescent="0.7">
      <c r="A81" s="369"/>
      <c r="B81" s="365"/>
      <c r="C81" s="367"/>
      <c r="D81" s="361"/>
      <c r="E81" s="374"/>
      <c r="F81" s="372"/>
    </row>
    <row r="82" spans="1:6" ht="4.95" customHeight="1" x14ac:dyDescent="0.7">
      <c r="A82" s="369"/>
      <c r="B82" s="365"/>
      <c r="C82" s="367"/>
      <c r="D82" s="361"/>
      <c r="E82" s="374"/>
      <c r="F82" s="372"/>
    </row>
    <row r="83" spans="1:6" ht="4.95" customHeight="1" x14ac:dyDescent="0.7">
      <c r="A83" s="369"/>
      <c r="B83" s="365"/>
      <c r="C83" s="367"/>
      <c r="D83" s="361"/>
      <c r="E83" s="374"/>
      <c r="F83" s="372"/>
    </row>
    <row r="84" spans="1:6" ht="4.95" customHeight="1" x14ac:dyDescent="0.7">
      <c r="A84" s="369"/>
      <c r="B84" s="365" t="s">
        <v>1251</v>
      </c>
      <c r="C84" s="367">
        <v>3</v>
      </c>
      <c r="D84" s="361" t="s">
        <v>1252</v>
      </c>
      <c r="E84" s="374">
        <v>2.88</v>
      </c>
      <c r="F84" s="372"/>
    </row>
    <row r="85" spans="1:6" ht="4.95" customHeight="1" x14ac:dyDescent="0.7">
      <c r="A85" s="369"/>
      <c r="B85" s="365"/>
      <c r="C85" s="367"/>
      <c r="D85" s="361"/>
      <c r="E85" s="374"/>
      <c r="F85" s="372"/>
    </row>
    <row r="86" spans="1:6" ht="4.95" customHeight="1" x14ac:dyDescent="0.7">
      <c r="A86" s="369"/>
      <c r="B86" s="365"/>
      <c r="C86" s="367"/>
      <c r="D86" s="361"/>
      <c r="E86" s="374"/>
      <c r="F86" s="372"/>
    </row>
    <row r="87" spans="1:6" ht="4.95" customHeight="1" x14ac:dyDescent="0.7">
      <c r="A87" s="369"/>
      <c r="B87" s="365"/>
      <c r="C87" s="367"/>
      <c r="D87" s="361"/>
      <c r="E87" s="374"/>
      <c r="F87" s="372"/>
    </row>
    <row r="88" spans="1:6" ht="4.95" customHeight="1" x14ac:dyDescent="0.7">
      <c r="A88" s="369"/>
      <c r="B88" s="365"/>
      <c r="C88" s="367"/>
      <c r="D88" s="361"/>
      <c r="E88" s="374"/>
      <c r="F88" s="372"/>
    </row>
    <row r="89" spans="1:6" ht="4.95" customHeight="1" x14ac:dyDescent="0.7">
      <c r="A89" s="369"/>
      <c r="B89" s="365"/>
      <c r="C89" s="367"/>
      <c r="D89" s="361"/>
      <c r="E89" s="374"/>
      <c r="F89" s="372"/>
    </row>
    <row r="90" spans="1:6" ht="4.95" customHeight="1" x14ac:dyDescent="0.7">
      <c r="A90" s="369"/>
      <c r="B90" s="365"/>
      <c r="C90" s="367"/>
      <c r="D90" s="361"/>
      <c r="E90" s="374"/>
      <c r="F90" s="372"/>
    </row>
    <row r="91" spans="1:6" ht="4.95" customHeight="1" x14ac:dyDescent="0.7">
      <c r="A91" s="369"/>
      <c r="B91" s="365"/>
      <c r="C91" s="367"/>
      <c r="D91" s="361"/>
      <c r="E91" s="374"/>
      <c r="F91" s="372"/>
    </row>
    <row r="92" spans="1:6" ht="4.95" customHeight="1" x14ac:dyDescent="0.7">
      <c r="A92" s="369"/>
      <c r="B92" s="365"/>
      <c r="C92" s="367"/>
      <c r="D92" s="361"/>
      <c r="E92" s="374"/>
      <c r="F92" s="372"/>
    </row>
    <row r="93" spans="1:6" ht="4.95" customHeight="1" x14ac:dyDescent="0.7">
      <c r="A93" s="369"/>
      <c r="B93" s="365"/>
      <c r="C93" s="367"/>
      <c r="D93" s="361"/>
      <c r="E93" s="374"/>
      <c r="F93" s="372"/>
    </row>
    <row r="94" spans="1:6" ht="4.95" customHeight="1" x14ac:dyDescent="0.7">
      <c r="A94" s="369"/>
      <c r="B94" s="365"/>
      <c r="C94" s="367"/>
      <c r="D94" s="361"/>
      <c r="E94" s="374"/>
      <c r="F94" s="372"/>
    </row>
    <row r="95" spans="1:6" ht="4.95" customHeight="1" x14ac:dyDescent="0.7">
      <c r="A95" s="369"/>
      <c r="B95" s="365"/>
      <c r="C95" s="367"/>
      <c r="D95" s="361"/>
      <c r="E95" s="374"/>
      <c r="F95" s="372"/>
    </row>
    <row r="96" spans="1:6" ht="4.95" customHeight="1" x14ac:dyDescent="0.7">
      <c r="A96" s="369"/>
      <c r="B96" s="365"/>
      <c r="C96" s="367"/>
      <c r="D96" s="361"/>
      <c r="E96" s="374"/>
      <c r="F96" s="372"/>
    </row>
    <row r="97" spans="1:6" ht="4.95" customHeight="1" x14ac:dyDescent="0.7">
      <c r="A97" s="369"/>
      <c r="B97" s="365"/>
      <c r="C97" s="367"/>
      <c r="D97" s="361"/>
      <c r="E97" s="374"/>
      <c r="F97" s="372"/>
    </row>
    <row r="98" spans="1:6" ht="4.95" customHeight="1" x14ac:dyDescent="0.7">
      <c r="A98" s="369"/>
      <c r="B98" s="365" t="s">
        <v>1254</v>
      </c>
      <c r="C98" s="367">
        <v>2.6000000000000005</v>
      </c>
      <c r="D98" s="361"/>
      <c r="E98" s="374"/>
      <c r="F98" s="372"/>
    </row>
    <row r="99" spans="1:6" ht="4.95" customHeight="1" x14ac:dyDescent="0.7">
      <c r="A99" s="369"/>
      <c r="B99" s="365"/>
      <c r="C99" s="367"/>
      <c r="D99" s="361"/>
      <c r="E99" s="374"/>
      <c r="F99" s="372"/>
    </row>
    <row r="100" spans="1:6" ht="4.95" customHeight="1" x14ac:dyDescent="0.7">
      <c r="A100" s="369"/>
      <c r="B100" s="365"/>
      <c r="C100" s="367"/>
      <c r="D100" s="361"/>
      <c r="E100" s="374"/>
      <c r="F100" s="372"/>
    </row>
    <row r="101" spans="1:6" ht="4.95" customHeight="1" x14ac:dyDescent="0.7">
      <c r="A101" s="369"/>
      <c r="B101" s="365"/>
      <c r="C101" s="367"/>
      <c r="D101" s="361"/>
      <c r="E101" s="374"/>
      <c r="F101" s="372"/>
    </row>
    <row r="102" spans="1:6" ht="4.95" customHeight="1" x14ac:dyDescent="0.7">
      <c r="A102" s="369"/>
      <c r="B102" s="365" t="s">
        <v>1259</v>
      </c>
      <c r="C102" s="367">
        <v>2.8</v>
      </c>
      <c r="D102" s="361" t="s">
        <v>1260</v>
      </c>
      <c r="E102" s="374">
        <v>2.2399999999999998</v>
      </c>
      <c r="F102" s="372"/>
    </row>
    <row r="103" spans="1:6" ht="4.95" customHeight="1" x14ac:dyDescent="0.7">
      <c r="A103" s="369"/>
      <c r="B103" s="365"/>
      <c r="C103" s="367"/>
      <c r="D103" s="361"/>
      <c r="E103" s="374"/>
      <c r="F103" s="372"/>
    </row>
    <row r="104" spans="1:6" ht="4.95" customHeight="1" x14ac:dyDescent="0.7">
      <c r="A104" s="369"/>
      <c r="B104" s="365"/>
      <c r="C104" s="367"/>
      <c r="D104" s="361"/>
      <c r="E104" s="374"/>
      <c r="F104" s="372"/>
    </row>
    <row r="105" spans="1:6" ht="4.95" customHeight="1" x14ac:dyDescent="0.7">
      <c r="A105" s="369"/>
      <c r="B105" s="365"/>
      <c r="C105" s="367"/>
      <c r="D105" s="361"/>
      <c r="E105" s="374"/>
      <c r="F105" s="372"/>
    </row>
    <row r="106" spans="1:6" ht="4.95" customHeight="1" x14ac:dyDescent="0.7">
      <c r="A106" s="369"/>
      <c r="B106" s="365"/>
      <c r="C106" s="367"/>
      <c r="D106" s="361"/>
      <c r="E106" s="374"/>
      <c r="F106" s="372"/>
    </row>
    <row r="107" spans="1:6" ht="4.95" customHeight="1" x14ac:dyDescent="0.7">
      <c r="A107" s="369"/>
      <c r="B107" s="365"/>
      <c r="C107" s="367"/>
      <c r="D107" s="361"/>
      <c r="E107" s="374"/>
      <c r="F107" s="372"/>
    </row>
    <row r="108" spans="1:6" ht="4.95" customHeight="1" x14ac:dyDescent="0.7">
      <c r="A108" s="369"/>
      <c r="B108" s="365"/>
      <c r="C108" s="367"/>
      <c r="D108" s="361"/>
      <c r="E108" s="374"/>
      <c r="F108" s="372"/>
    </row>
    <row r="109" spans="1:6" ht="4.95" customHeight="1" x14ac:dyDescent="0.7">
      <c r="A109" s="369"/>
      <c r="B109" s="365"/>
      <c r="C109" s="367"/>
      <c r="D109" s="361"/>
      <c r="E109" s="374"/>
      <c r="F109" s="372"/>
    </row>
    <row r="110" spans="1:6" ht="4.95" customHeight="1" x14ac:dyDescent="0.7">
      <c r="A110" s="369"/>
      <c r="B110" s="365"/>
      <c r="C110" s="367"/>
      <c r="D110" s="361"/>
      <c r="E110" s="374"/>
      <c r="F110" s="372"/>
    </row>
    <row r="111" spans="1:6" ht="4.95" customHeight="1" x14ac:dyDescent="0.7">
      <c r="A111" s="369"/>
      <c r="B111" s="365" t="s">
        <v>1263</v>
      </c>
      <c r="C111" s="367">
        <v>2</v>
      </c>
      <c r="D111" s="361"/>
      <c r="E111" s="374"/>
      <c r="F111" s="372"/>
    </row>
    <row r="112" spans="1:6" ht="4.95" customHeight="1" x14ac:dyDescent="0.7">
      <c r="A112" s="369"/>
      <c r="B112" s="365"/>
      <c r="C112" s="367"/>
      <c r="D112" s="361"/>
      <c r="E112" s="374"/>
      <c r="F112" s="372"/>
    </row>
    <row r="113" spans="1:6" ht="4.95" customHeight="1" x14ac:dyDescent="0.7">
      <c r="A113" s="369"/>
      <c r="B113" s="365"/>
      <c r="C113" s="367"/>
      <c r="D113" s="361"/>
      <c r="E113" s="374"/>
      <c r="F113" s="372"/>
    </row>
    <row r="114" spans="1:6" ht="4.95" customHeight="1" x14ac:dyDescent="0.7">
      <c r="A114" s="369"/>
      <c r="B114" s="365"/>
      <c r="C114" s="367"/>
      <c r="D114" s="361"/>
      <c r="E114" s="374"/>
      <c r="F114" s="372"/>
    </row>
    <row r="115" spans="1:6" ht="4.95" customHeight="1" x14ac:dyDescent="0.7">
      <c r="A115" s="369"/>
      <c r="B115" s="365"/>
      <c r="C115" s="367"/>
      <c r="D115" s="361"/>
      <c r="E115" s="374"/>
      <c r="F115" s="372"/>
    </row>
    <row r="116" spans="1:6" ht="4.95" customHeight="1" x14ac:dyDescent="0.7">
      <c r="A116" s="369"/>
      <c r="B116" s="365"/>
      <c r="C116" s="367"/>
      <c r="D116" s="361"/>
      <c r="E116" s="374"/>
      <c r="F116" s="372"/>
    </row>
    <row r="117" spans="1:6" ht="4.95" customHeight="1" x14ac:dyDescent="0.7">
      <c r="A117" s="369"/>
      <c r="B117" s="365"/>
      <c r="C117" s="367"/>
      <c r="D117" s="361"/>
      <c r="E117" s="374"/>
      <c r="F117" s="372"/>
    </row>
    <row r="118" spans="1:6" ht="4.95" customHeight="1" x14ac:dyDescent="0.7">
      <c r="A118" s="369"/>
      <c r="B118" s="365" t="s">
        <v>1264</v>
      </c>
      <c r="C118" s="367">
        <v>1.87</v>
      </c>
      <c r="D118" s="361" t="s">
        <v>1265</v>
      </c>
      <c r="E118" s="374">
        <v>2.1350000000000002</v>
      </c>
      <c r="F118" s="372"/>
    </row>
    <row r="119" spans="1:6" ht="4.95" customHeight="1" x14ac:dyDescent="0.7">
      <c r="A119" s="369"/>
      <c r="B119" s="365"/>
      <c r="C119" s="367"/>
      <c r="D119" s="361"/>
      <c r="E119" s="374"/>
      <c r="F119" s="372"/>
    </row>
    <row r="120" spans="1:6" ht="4.95" customHeight="1" x14ac:dyDescent="0.7">
      <c r="A120" s="369"/>
      <c r="B120" s="365"/>
      <c r="C120" s="367"/>
      <c r="D120" s="361"/>
      <c r="E120" s="374"/>
      <c r="F120" s="372"/>
    </row>
    <row r="121" spans="1:6" ht="4.95" customHeight="1" x14ac:dyDescent="0.7">
      <c r="A121" s="369"/>
      <c r="B121" s="365"/>
      <c r="C121" s="367"/>
      <c r="D121" s="361"/>
      <c r="E121" s="374"/>
      <c r="F121" s="372"/>
    </row>
    <row r="122" spans="1:6" ht="4.95" customHeight="1" x14ac:dyDescent="0.7">
      <c r="A122" s="369"/>
      <c r="B122" s="365"/>
      <c r="C122" s="367"/>
      <c r="D122" s="361"/>
      <c r="E122" s="374"/>
      <c r="F122" s="372"/>
    </row>
    <row r="123" spans="1:6" ht="4.95" customHeight="1" x14ac:dyDescent="0.7">
      <c r="A123" s="369"/>
      <c r="B123" s="365"/>
      <c r="C123" s="367"/>
      <c r="D123" s="361"/>
      <c r="E123" s="374"/>
      <c r="F123" s="372"/>
    </row>
    <row r="124" spans="1:6" ht="4.95" customHeight="1" x14ac:dyDescent="0.7">
      <c r="A124" s="369"/>
      <c r="B124" s="365"/>
      <c r="C124" s="367"/>
      <c r="D124" s="361"/>
      <c r="E124" s="374"/>
      <c r="F124" s="372"/>
    </row>
    <row r="125" spans="1:6" ht="4.95" customHeight="1" x14ac:dyDescent="0.7">
      <c r="A125" s="369"/>
      <c r="B125" s="365"/>
      <c r="C125" s="367"/>
      <c r="D125" s="361"/>
      <c r="E125" s="374"/>
      <c r="F125" s="372"/>
    </row>
    <row r="126" spans="1:6" ht="4.95" customHeight="1" x14ac:dyDescent="0.7">
      <c r="A126" s="369"/>
      <c r="B126" s="365"/>
      <c r="C126" s="367"/>
      <c r="D126" s="361"/>
      <c r="E126" s="374"/>
      <c r="F126" s="372"/>
    </row>
    <row r="127" spans="1:6" ht="4.95" customHeight="1" x14ac:dyDescent="0.7">
      <c r="A127" s="369"/>
      <c r="B127" s="365"/>
      <c r="C127" s="367"/>
      <c r="D127" s="361"/>
      <c r="E127" s="374"/>
      <c r="F127" s="372"/>
    </row>
    <row r="128" spans="1:6" ht="4.95" customHeight="1" x14ac:dyDescent="0.7">
      <c r="A128" s="369"/>
      <c r="B128" s="365"/>
      <c r="C128" s="367"/>
      <c r="D128" s="361"/>
      <c r="E128" s="374"/>
      <c r="F128" s="372"/>
    </row>
    <row r="129" spans="1:6" ht="4.95" customHeight="1" x14ac:dyDescent="0.7">
      <c r="A129" s="369"/>
      <c r="B129" s="365"/>
      <c r="C129" s="367"/>
      <c r="D129" s="361"/>
      <c r="E129" s="374"/>
      <c r="F129" s="372"/>
    </row>
    <row r="130" spans="1:6" ht="4.95" customHeight="1" x14ac:dyDescent="0.7">
      <c r="A130" s="369"/>
      <c r="B130" s="365"/>
      <c r="C130" s="367"/>
      <c r="D130" s="361"/>
      <c r="E130" s="374"/>
      <c r="F130" s="372"/>
    </row>
    <row r="131" spans="1:6" ht="4.95" customHeight="1" x14ac:dyDescent="0.7">
      <c r="A131" s="369"/>
      <c r="B131" s="365"/>
      <c r="C131" s="367"/>
      <c r="D131" s="361"/>
      <c r="E131" s="374"/>
      <c r="F131" s="372"/>
    </row>
    <row r="132" spans="1:6" ht="4.95" customHeight="1" x14ac:dyDescent="0.7">
      <c r="A132" s="369"/>
      <c r="B132" s="365"/>
      <c r="C132" s="367"/>
      <c r="D132" s="361"/>
      <c r="E132" s="374"/>
      <c r="F132" s="372"/>
    </row>
    <row r="133" spans="1:6" ht="4.95" customHeight="1" x14ac:dyDescent="0.7">
      <c r="A133" s="369"/>
      <c r="B133" s="365"/>
      <c r="C133" s="367"/>
      <c r="D133" s="361"/>
      <c r="E133" s="374"/>
      <c r="F133" s="372"/>
    </row>
    <row r="134" spans="1:6" ht="4.95" customHeight="1" x14ac:dyDescent="0.7">
      <c r="A134" s="369"/>
      <c r="B134" s="365"/>
      <c r="C134" s="367"/>
      <c r="D134" s="361"/>
      <c r="E134" s="374"/>
      <c r="F134" s="372"/>
    </row>
    <row r="135" spans="1:6" ht="4.95" customHeight="1" x14ac:dyDescent="0.7">
      <c r="A135" s="369"/>
      <c r="B135" s="365"/>
      <c r="C135" s="367"/>
      <c r="D135" s="361"/>
      <c r="E135" s="374"/>
      <c r="F135" s="372"/>
    </row>
    <row r="136" spans="1:6" ht="4.95" customHeight="1" x14ac:dyDescent="0.7">
      <c r="A136" s="369"/>
      <c r="B136" s="365" t="s">
        <v>1282</v>
      </c>
      <c r="C136" s="367">
        <v>2.4000000000000004</v>
      </c>
      <c r="D136" s="361"/>
      <c r="E136" s="374"/>
      <c r="F136" s="372"/>
    </row>
    <row r="137" spans="1:6" ht="4.95" customHeight="1" x14ac:dyDescent="0.7">
      <c r="A137" s="369"/>
      <c r="B137" s="365"/>
      <c r="C137" s="367"/>
      <c r="D137" s="361"/>
      <c r="E137" s="374"/>
      <c r="F137" s="372"/>
    </row>
    <row r="138" spans="1:6" ht="4.95" customHeight="1" x14ac:dyDescent="0.7">
      <c r="A138" s="369"/>
      <c r="B138" s="365"/>
      <c r="C138" s="367"/>
      <c r="D138" s="361"/>
      <c r="E138" s="374"/>
      <c r="F138" s="372"/>
    </row>
    <row r="139" spans="1:6" ht="4.95" customHeight="1" x14ac:dyDescent="0.7">
      <c r="A139" s="369"/>
      <c r="B139" s="365"/>
      <c r="C139" s="367"/>
      <c r="D139" s="361"/>
      <c r="E139" s="374"/>
      <c r="F139" s="372"/>
    </row>
    <row r="140" spans="1:6" ht="4.95" customHeight="1" x14ac:dyDescent="0.7">
      <c r="A140" s="369"/>
      <c r="B140" s="365"/>
      <c r="C140" s="367"/>
      <c r="D140" s="361"/>
      <c r="E140" s="374"/>
      <c r="F140" s="372"/>
    </row>
    <row r="141" spans="1:6" ht="4.95" customHeight="1" x14ac:dyDescent="0.7">
      <c r="A141" s="369"/>
      <c r="B141" s="365"/>
      <c r="C141" s="367"/>
      <c r="D141" s="361"/>
      <c r="E141" s="374"/>
      <c r="F141" s="372"/>
    </row>
    <row r="142" spans="1:6" ht="4.95" customHeight="1" x14ac:dyDescent="0.7">
      <c r="A142" s="369"/>
      <c r="B142" s="365"/>
      <c r="C142" s="367"/>
      <c r="D142" s="361"/>
      <c r="E142" s="374"/>
      <c r="F142" s="372"/>
    </row>
    <row r="143" spans="1:6" ht="4.95" customHeight="1" x14ac:dyDescent="0.7">
      <c r="A143" s="369"/>
      <c r="B143" s="365"/>
      <c r="C143" s="367"/>
      <c r="D143" s="361"/>
      <c r="E143" s="374"/>
      <c r="F143" s="372"/>
    </row>
    <row r="144" spans="1:6" ht="4.95" customHeight="1" x14ac:dyDescent="0.7">
      <c r="A144" s="369"/>
      <c r="B144" s="365"/>
      <c r="C144" s="367"/>
      <c r="D144" s="361"/>
      <c r="E144" s="374"/>
      <c r="F144" s="372"/>
    </row>
    <row r="145" spans="1:6" ht="4.95" customHeight="1" x14ac:dyDescent="0.7">
      <c r="A145" s="369"/>
      <c r="B145" s="365"/>
      <c r="C145" s="367"/>
      <c r="D145" s="361"/>
      <c r="E145" s="374"/>
      <c r="F145" s="372"/>
    </row>
    <row r="146" spans="1:6" ht="4.95" customHeight="1" x14ac:dyDescent="0.7">
      <c r="A146" s="368" t="s">
        <v>1699</v>
      </c>
      <c r="B146" s="365" t="s">
        <v>1485</v>
      </c>
      <c r="C146" s="367">
        <v>1.8</v>
      </c>
      <c r="D146" s="361" t="s">
        <v>1486</v>
      </c>
      <c r="E146" s="374">
        <v>1.6800000000000002</v>
      </c>
      <c r="F146" s="372"/>
    </row>
    <row r="147" spans="1:6" ht="4.95" customHeight="1" x14ac:dyDescent="0.7">
      <c r="A147" s="369"/>
      <c r="B147" s="365"/>
      <c r="C147" s="367"/>
      <c r="D147" s="361"/>
      <c r="E147" s="374"/>
      <c r="F147" s="372"/>
    </row>
    <row r="148" spans="1:6" ht="4.95" customHeight="1" x14ac:dyDescent="0.7">
      <c r="A148" s="369"/>
      <c r="B148" s="365"/>
      <c r="C148" s="367"/>
      <c r="D148" s="361"/>
      <c r="E148" s="374"/>
      <c r="F148" s="372"/>
    </row>
    <row r="149" spans="1:6" ht="4.95" customHeight="1" x14ac:dyDescent="0.7">
      <c r="A149" s="369"/>
      <c r="B149" s="365"/>
      <c r="C149" s="367"/>
      <c r="D149" s="361"/>
      <c r="E149" s="374"/>
      <c r="F149" s="372"/>
    </row>
    <row r="150" spans="1:6" ht="4.95" customHeight="1" x14ac:dyDescent="0.7">
      <c r="A150" s="369"/>
      <c r="B150" s="365" t="s">
        <v>1488</v>
      </c>
      <c r="C150" s="367">
        <v>1.2000000000000002</v>
      </c>
      <c r="D150" s="361"/>
      <c r="E150" s="374"/>
      <c r="F150" s="372"/>
    </row>
    <row r="151" spans="1:6" ht="4.95" customHeight="1" x14ac:dyDescent="0.7">
      <c r="A151" s="369"/>
      <c r="B151" s="365"/>
      <c r="C151" s="367"/>
      <c r="D151" s="361"/>
      <c r="E151" s="374"/>
      <c r="F151" s="372"/>
    </row>
    <row r="152" spans="1:6" ht="4.95" customHeight="1" x14ac:dyDescent="0.7">
      <c r="A152" s="369"/>
      <c r="B152" s="365"/>
      <c r="C152" s="367"/>
      <c r="D152" s="361"/>
      <c r="E152" s="374"/>
      <c r="F152" s="372"/>
    </row>
    <row r="153" spans="1:6" ht="4.95" customHeight="1" x14ac:dyDescent="0.7">
      <c r="A153" s="369"/>
      <c r="B153" s="365" t="s">
        <v>1495</v>
      </c>
      <c r="C153" s="367">
        <v>1.8000000000000003</v>
      </c>
      <c r="D153" s="361"/>
      <c r="E153" s="374"/>
      <c r="F153" s="372"/>
    </row>
    <row r="154" spans="1:6" ht="4.95" customHeight="1" x14ac:dyDescent="0.7">
      <c r="A154" s="369"/>
      <c r="B154" s="365"/>
      <c r="C154" s="367"/>
      <c r="D154" s="361"/>
      <c r="E154" s="374"/>
      <c r="F154" s="372"/>
    </row>
    <row r="155" spans="1:6" ht="4.95" customHeight="1" x14ac:dyDescent="0.7">
      <c r="A155" s="369"/>
      <c r="B155" s="365"/>
      <c r="C155" s="367"/>
      <c r="D155" s="361"/>
      <c r="E155" s="374"/>
      <c r="F155" s="372"/>
    </row>
    <row r="156" spans="1:6" ht="4.95" customHeight="1" x14ac:dyDescent="0.7">
      <c r="A156" s="368" t="s">
        <v>1700</v>
      </c>
      <c r="B156" s="365" t="s">
        <v>1576</v>
      </c>
      <c r="C156" s="370">
        <v>1.7</v>
      </c>
      <c r="D156" s="361" t="s">
        <v>1577</v>
      </c>
      <c r="E156" s="366">
        <v>1.4</v>
      </c>
      <c r="F156" s="372"/>
    </row>
    <row r="157" spans="1:6" ht="4.95" customHeight="1" x14ac:dyDescent="0.7">
      <c r="A157" s="369"/>
      <c r="B157" s="365"/>
      <c r="C157" s="370"/>
      <c r="D157" s="361"/>
      <c r="E157" s="366"/>
      <c r="F157" s="372"/>
    </row>
    <row r="158" spans="1:6" ht="4.95" customHeight="1" x14ac:dyDescent="0.7">
      <c r="A158" s="369"/>
      <c r="B158" s="365"/>
      <c r="C158" s="370"/>
      <c r="D158" s="361"/>
      <c r="E158" s="366"/>
      <c r="F158" s="372"/>
    </row>
    <row r="159" spans="1:6" ht="4.95" customHeight="1" x14ac:dyDescent="0.7">
      <c r="A159" s="369"/>
      <c r="B159" s="365"/>
      <c r="C159" s="370"/>
      <c r="D159" s="361"/>
      <c r="E159" s="366"/>
      <c r="F159" s="372"/>
    </row>
    <row r="160" spans="1:6" ht="4.95" customHeight="1" x14ac:dyDescent="0.7">
      <c r="A160" s="369"/>
      <c r="B160" s="365"/>
      <c r="C160" s="370"/>
      <c r="D160" s="361"/>
      <c r="E160" s="366"/>
      <c r="F160" s="372"/>
    </row>
    <row r="161" spans="1:6" ht="4.95" customHeight="1" x14ac:dyDescent="0.7">
      <c r="A161" s="369"/>
      <c r="B161" s="365"/>
      <c r="C161" s="370"/>
      <c r="D161" s="361"/>
      <c r="E161" s="366"/>
      <c r="F161" s="372"/>
    </row>
    <row r="162" spans="1:6" ht="4.95" customHeight="1" x14ac:dyDescent="0.7">
      <c r="A162" s="369"/>
      <c r="B162" s="365"/>
      <c r="C162" s="370"/>
      <c r="D162" s="361"/>
      <c r="E162" s="366"/>
      <c r="F162" s="372"/>
    </row>
    <row r="163" spans="1:6" ht="4.95" customHeight="1" x14ac:dyDescent="0.7">
      <c r="A163" s="369"/>
      <c r="B163" s="365"/>
      <c r="C163" s="370"/>
      <c r="D163" s="361"/>
      <c r="E163" s="366"/>
      <c r="F163" s="372"/>
    </row>
    <row r="164" spans="1:6" ht="4.95" customHeight="1" x14ac:dyDescent="0.7">
      <c r="A164" s="369"/>
      <c r="B164" s="365"/>
      <c r="C164" s="370"/>
      <c r="D164" s="361"/>
      <c r="E164" s="366"/>
      <c r="F164" s="372"/>
    </row>
    <row r="165" spans="1:6" ht="4.95" customHeight="1" x14ac:dyDescent="0.7">
      <c r="A165" s="369"/>
      <c r="B165" s="365"/>
      <c r="C165" s="370"/>
      <c r="D165" s="361"/>
      <c r="E165" s="366"/>
      <c r="F165" s="372"/>
    </row>
    <row r="166" spans="1:6" ht="4.95" customHeight="1" x14ac:dyDescent="0.7">
      <c r="A166" s="369"/>
      <c r="B166" s="365"/>
      <c r="C166" s="370"/>
      <c r="D166" s="361"/>
      <c r="E166" s="366"/>
      <c r="F166" s="372"/>
    </row>
    <row r="167" spans="1:6" ht="4.95" customHeight="1" x14ac:dyDescent="0.7">
      <c r="A167" s="369"/>
      <c r="B167" s="365"/>
      <c r="C167" s="370"/>
      <c r="D167" s="361"/>
      <c r="E167" s="366"/>
      <c r="F167" s="372"/>
    </row>
    <row r="168" spans="1:6" ht="4.95" customHeight="1" x14ac:dyDescent="0.7">
      <c r="A168" s="369"/>
      <c r="B168" s="365"/>
      <c r="C168" s="370"/>
      <c r="D168" s="361"/>
      <c r="E168" s="366"/>
      <c r="F168" s="372"/>
    </row>
    <row r="169" spans="1:6" ht="4.95" customHeight="1" x14ac:dyDescent="0.7">
      <c r="A169" s="369"/>
      <c r="B169" s="365"/>
      <c r="C169" s="370"/>
      <c r="D169" s="361"/>
      <c r="E169" s="366"/>
      <c r="F169" s="372"/>
    </row>
    <row r="170" spans="1:6" ht="4.95" customHeight="1" x14ac:dyDescent="0.7">
      <c r="A170" s="369"/>
      <c r="B170" s="365"/>
      <c r="C170" s="370"/>
      <c r="D170" s="361"/>
      <c r="E170" s="366"/>
      <c r="F170" s="372"/>
    </row>
    <row r="171" spans="1:6" ht="4.95" customHeight="1" x14ac:dyDescent="0.7">
      <c r="A171" s="369"/>
      <c r="B171" s="365"/>
      <c r="C171" s="370"/>
      <c r="D171" s="361"/>
      <c r="E171" s="366"/>
      <c r="F171" s="372"/>
    </row>
    <row r="172" spans="1:6" ht="4.95" customHeight="1" x14ac:dyDescent="0.7">
      <c r="A172" s="369"/>
      <c r="B172" s="365"/>
      <c r="C172" s="370"/>
      <c r="D172" s="361"/>
      <c r="E172" s="366"/>
      <c r="F172" s="372"/>
    </row>
    <row r="173" spans="1:6" ht="4.95" customHeight="1" x14ac:dyDescent="0.7">
      <c r="A173" s="369"/>
      <c r="B173" s="365"/>
      <c r="C173" s="370"/>
      <c r="D173" s="361"/>
      <c r="E173" s="366"/>
      <c r="F173" s="372"/>
    </row>
    <row r="174" spans="1:6" ht="4.95" customHeight="1" x14ac:dyDescent="0.7">
      <c r="A174" s="369"/>
      <c r="B174" s="365"/>
      <c r="C174" s="370"/>
      <c r="D174" s="361"/>
      <c r="E174" s="366"/>
      <c r="F174" s="372"/>
    </row>
    <row r="175" spans="1:6" ht="4.95" customHeight="1" x14ac:dyDescent="0.7">
      <c r="A175" s="369"/>
      <c r="B175" s="365"/>
      <c r="C175" s="370"/>
      <c r="D175" s="361"/>
      <c r="E175" s="366"/>
      <c r="F175" s="372"/>
    </row>
    <row r="176" spans="1:6" ht="4.95" customHeight="1" x14ac:dyDescent="0.7">
      <c r="A176" s="369"/>
      <c r="B176" s="365"/>
      <c r="C176" s="370"/>
      <c r="D176" s="361"/>
      <c r="E176" s="366"/>
      <c r="F176" s="372"/>
    </row>
    <row r="177" spans="1:6" ht="4.95" customHeight="1" x14ac:dyDescent="0.7">
      <c r="A177" s="369"/>
      <c r="B177" s="365"/>
      <c r="C177" s="370"/>
      <c r="D177" s="361"/>
      <c r="E177" s="366"/>
      <c r="F177" s="372"/>
    </row>
    <row r="178" spans="1:6" ht="4.95" customHeight="1" x14ac:dyDescent="0.7">
      <c r="A178" s="369"/>
      <c r="B178" s="365" t="s">
        <v>1578</v>
      </c>
      <c r="C178" s="370">
        <v>1</v>
      </c>
      <c r="D178" s="361"/>
      <c r="E178" s="366"/>
      <c r="F178" s="372"/>
    </row>
    <row r="179" spans="1:6" ht="4.95" customHeight="1" x14ac:dyDescent="0.7">
      <c r="A179" s="369"/>
      <c r="B179" s="365"/>
      <c r="C179" s="370"/>
      <c r="D179" s="361"/>
      <c r="E179" s="366"/>
      <c r="F179" s="372"/>
    </row>
    <row r="180" spans="1:6" ht="4.95" customHeight="1" x14ac:dyDescent="0.7">
      <c r="A180" s="369"/>
      <c r="B180" s="365"/>
      <c r="C180" s="370"/>
      <c r="D180" s="361"/>
      <c r="E180" s="366"/>
      <c r="F180" s="372"/>
    </row>
    <row r="181" spans="1:6" ht="4.95" customHeight="1" x14ac:dyDescent="0.7">
      <c r="A181" s="369"/>
      <c r="B181" s="365"/>
      <c r="C181" s="370"/>
      <c r="D181" s="361"/>
      <c r="E181" s="366"/>
      <c r="F181" s="372"/>
    </row>
    <row r="182" spans="1:6" ht="4.95" customHeight="1" x14ac:dyDescent="0.7">
      <c r="A182" s="369"/>
      <c r="B182" s="365"/>
      <c r="C182" s="370"/>
      <c r="D182" s="361"/>
      <c r="E182" s="366"/>
      <c r="F182" s="372"/>
    </row>
    <row r="183" spans="1:6" ht="4.95" customHeight="1" x14ac:dyDescent="0.7">
      <c r="A183" s="369"/>
      <c r="B183" s="365"/>
      <c r="C183" s="370"/>
      <c r="D183" s="361"/>
      <c r="E183" s="366"/>
      <c r="F183" s="372"/>
    </row>
    <row r="184" spans="1:6" ht="4.95" customHeight="1" x14ac:dyDescent="0.7">
      <c r="A184" s="369"/>
      <c r="B184" s="365"/>
      <c r="C184" s="370"/>
      <c r="D184" s="361"/>
      <c r="E184" s="366"/>
      <c r="F184" s="372"/>
    </row>
    <row r="185" spans="1:6" ht="4.95" customHeight="1" x14ac:dyDescent="0.7">
      <c r="A185" s="369"/>
      <c r="B185" s="365"/>
      <c r="C185" s="370"/>
      <c r="D185" s="361"/>
      <c r="E185" s="366"/>
      <c r="F185" s="372"/>
    </row>
    <row r="186" spans="1:6" ht="4.95" customHeight="1" x14ac:dyDescent="0.7">
      <c r="A186" s="369"/>
      <c r="B186" s="365" t="s">
        <v>1579</v>
      </c>
      <c r="C186" s="370">
        <v>1.5</v>
      </c>
      <c r="D186" s="361"/>
      <c r="E186" s="366"/>
      <c r="F186" s="372"/>
    </row>
    <row r="187" spans="1:6" ht="4.95" customHeight="1" x14ac:dyDescent="0.7">
      <c r="A187" s="369"/>
      <c r="B187" s="365"/>
      <c r="C187" s="370"/>
      <c r="D187" s="361"/>
      <c r="E187" s="366"/>
      <c r="F187" s="372"/>
    </row>
    <row r="188" spans="1:6" ht="4.95" customHeight="1" x14ac:dyDescent="0.7">
      <c r="A188" s="369"/>
      <c r="B188" s="365"/>
      <c r="C188" s="370"/>
      <c r="D188" s="361"/>
      <c r="E188" s="366"/>
      <c r="F188" s="372"/>
    </row>
    <row r="189" spans="1:6" ht="4.95" customHeight="1" x14ac:dyDescent="0.7">
      <c r="A189" s="369"/>
      <c r="B189" s="365"/>
      <c r="C189" s="370"/>
      <c r="D189" s="361"/>
      <c r="E189" s="366"/>
      <c r="F189" s="372"/>
    </row>
    <row r="190" spans="1:6" ht="4.95" customHeight="1" x14ac:dyDescent="0.7">
      <c r="A190" s="369"/>
      <c r="B190" s="365"/>
      <c r="C190" s="370"/>
      <c r="D190" s="361"/>
      <c r="E190" s="366"/>
      <c r="F190" s="372"/>
    </row>
    <row r="191" spans="1:6" ht="4.95" customHeight="1" x14ac:dyDescent="0.7">
      <c r="A191" s="369"/>
      <c r="B191" s="365"/>
      <c r="C191" s="370"/>
      <c r="D191" s="361"/>
      <c r="E191" s="366"/>
      <c r="F191" s="372"/>
    </row>
    <row r="192" spans="1:6" ht="4.95" customHeight="1" x14ac:dyDescent="0.7">
      <c r="A192" s="368" t="s">
        <v>1701</v>
      </c>
      <c r="B192" s="365" t="s">
        <v>1639</v>
      </c>
      <c r="C192" s="367">
        <v>2.2999999999999998</v>
      </c>
      <c r="D192" s="361" t="s">
        <v>1640</v>
      </c>
      <c r="E192" s="362">
        <v>2.6</v>
      </c>
      <c r="F192" s="372"/>
    </row>
    <row r="193" spans="1:6" ht="4.95" customHeight="1" x14ac:dyDescent="0.7">
      <c r="A193" s="369"/>
      <c r="B193" s="365"/>
      <c r="C193" s="367"/>
      <c r="D193" s="361"/>
      <c r="E193" s="363"/>
      <c r="F193" s="372"/>
    </row>
    <row r="194" spans="1:6" ht="4.95" customHeight="1" x14ac:dyDescent="0.7">
      <c r="A194" s="369"/>
      <c r="B194" s="365"/>
      <c r="C194" s="367"/>
      <c r="D194" s="361"/>
      <c r="E194" s="363"/>
      <c r="F194" s="372"/>
    </row>
    <row r="195" spans="1:6" ht="4.95" customHeight="1" x14ac:dyDescent="0.7">
      <c r="A195" s="369"/>
      <c r="B195" s="365" t="s">
        <v>1644</v>
      </c>
      <c r="C195" s="367">
        <v>2.6000000000000005</v>
      </c>
      <c r="D195" s="361"/>
      <c r="E195" s="363"/>
      <c r="F195" s="372"/>
    </row>
    <row r="196" spans="1:6" ht="4.95" customHeight="1" x14ac:dyDescent="0.7">
      <c r="A196" s="369"/>
      <c r="B196" s="365"/>
      <c r="C196" s="367"/>
      <c r="D196" s="361"/>
      <c r="E196" s="363"/>
      <c r="F196" s="372"/>
    </row>
    <row r="197" spans="1:6" ht="4.95" customHeight="1" x14ac:dyDescent="0.7">
      <c r="A197" s="369"/>
      <c r="B197" s="365"/>
      <c r="C197" s="367"/>
      <c r="D197" s="361"/>
      <c r="E197" s="363"/>
      <c r="F197" s="372"/>
    </row>
    <row r="198" spans="1:6" ht="4.95" customHeight="1" x14ac:dyDescent="0.7">
      <c r="A198" s="369"/>
      <c r="B198" s="365"/>
      <c r="C198" s="367"/>
      <c r="D198" s="361"/>
      <c r="E198" s="363"/>
      <c r="F198" s="372"/>
    </row>
    <row r="199" spans="1:6" ht="4.95" customHeight="1" x14ac:dyDescent="0.7">
      <c r="A199" s="369"/>
      <c r="B199" s="365" t="s">
        <v>1648</v>
      </c>
      <c r="C199" s="367">
        <v>3</v>
      </c>
      <c r="D199" s="361"/>
      <c r="E199" s="363"/>
      <c r="F199" s="372"/>
    </row>
    <row r="200" spans="1:6" ht="4.95" customHeight="1" x14ac:dyDescent="0.7">
      <c r="A200" s="369"/>
      <c r="B200" s="365"/>
      <c r="C200" s="367"/>
      <c r="D200" s="361"/>
      <c r="E200" s="363"/>
      <c r="F200" s="372"/>
    </row>
    <row r="201" spans="1:6" ht="4.95" customHeight="1" x14ac:dyDescent="0.7">
      <c r="A201" s="369"/>
      <c r="B201" s="365" t="s">
        <v>1649</v>
      </c>
      <c r="C201" s="367">
        <v>2.2999999999999998</v>
      </c>
      <c r="D201" s="361"/>
      <c r="E201" s="363"/>
      <c r="F201" s="372"/>
    </row>
    <row r="202" spans="1:6" ht="4.95" customHeight="1" x14ac:dyDescent="0.7">
      <c r="A202" s="369"/>
      <c r="B202" s="365"/>
      <c r="C202" s="367"/>
      <c r="D202" s="361"/>
      <c r="E202" s="363"/>
      <c r="F202" s="372"/>
    </row>
    <row r="203" spans="1:6" ht="4.95" customHeight="1" x14ac:dyDescent="0.7">
      <c r="A203" s="369"/>
      <c r="B203" s="365"/>
      <c r="C203" s="367"/>
      <c r="D203" s="361"/>
      <c r="E203" s="364"/>
      <c r="F203" s="373"/>
    </row>
    <row r="204" spans="1:6" ht="4.95" customHeight="1" x14ac:dyDescent="0.7"/>
    <row r="205" spans="1:6" ht="4.95" customHeight="1" x14ac:dyDescent="0.7"/>
    <row r="206" spans="1:6" ht="4.95" customHeight="1" x14ac:dyDescent="0.7"/>
    <row r="207" spans="1:6" ht="4.95" customHeight="1" x14ac:dyDescent="0.7"/>
    <row r="208" spans="1:6" ht="4.95" customHeight="1" x14ac:dyDescent="0.7"/>
    <row r="209" ht="4.95" customHeight="1" x14ac:dyDescent="0.7"/>
    <row r="210" ht="4.95" customHeight="1" x14ac:dyDescent="0.7"/>
    <row r="211" ht="4.95" customHeight="1" x14ac:dyDescent="0.7"/>
    <row r="212" ht="4.95" customHeight="1" x14ac:dyDescent="0.7"/>
    <row r="213" ht="4.95" customHeight="1" x14ac:dyDescent="0.7"/>
    <row r="214" ht="4.95" customHeight="1" x14ac:dyDescent="0.7"/>
    <row r="215" ht="4.95" customHeight="1" x14ac:dyDescent="0.7"/>
    <row r="216" ht="4.95" customHeight="1" x14ac:dyDescent="0.7"/>
    <row r="217" ht="4.95" customHeight="1" x14ac:dyDescent="0.7"/>
    <row r="218" ht="4.95" customHeight="1" x14ac:dyDescent="0.7"/>
    <row r="219" ht="4.95" customHeight="1" x14ac:dyDescent="0.7"/>
    <row r="220" ht="4.95" customHeight="1" x14ac:dyDescent="0.7"/>
    <row r="221" ht="4.95" customHeight="1" x14ac:dyDescent="0.7"/>
    <row r="222" ht="4.95" customHeight="1" x14ac:dyDescent="0.7"/>
    <row r="223" ht="4.95" customHeight="1" x14ac:dyDescent="0.7"/>
    <row r="224" ht="4.95" customHeight="1" x14ac:dyDescent="0.7"/>
    <row r="225" ht="4.95" customHeight="1" x14ac:dyDescent="0.7"/>
    <row r="226" ht="4.95" customHeight="1" x14ac:dyDescent="0.7"/>
    <row r="227" ht="4.95" customHeight="1" x14ac:dyDescent="0.7"/>
    <row r="228" ht="4.95" customHeight="1" x14ac:dyDescent="0.7"/>
    <row r="229" ht="4.95" customHeight="1" x14ac:dyDescent="0.7"/>
    <row r="230" ht="4.95" customHeight="1" x14ac:dyDescent="0.7"/>
    <row r="231" ht="4.95" customHeight="1" x14ac:dyDescent="0.7"/>
    <row r="232" ht="4.95" customHeight="1" x14ac:dyDescent="0.7"/>
    <row r="233" ht="4.95" customHeight="1" x14ac:dyDescent="0.7"/>
    <row r="234" ht="4.95" customHeight="1" x14ac:dyDescent="0.7"/>
    <row r="235" ht="4.95" customHeight="1" x14ac:dyDescent="0.7"/>
    <row r="236" ht="4.95" customHeight="1" x14ac:dyDescent="0.7"/>
    <row r="237" ht="4.95" customHeight="1" x14ac:dyDescent="0.7"/>
    <row r="238" ht="4.95" customHeight="1" x14ac:dyDescent="0.7"/>
    <row r="239" ht="4.95" customHeight="1" x14ac:dyDescent="0.7"/>
    <row r="240" ht="4.95" customHeight="1" x14ac:dyDescent="0.7"/>
    <row r="241" ht="4.95" customHeight="1" x14ac:dyDescent="0.7"/>
    <row r="242" ht="4.95" customHeight="1" x14ac:dyDescent="0.7"/>
    <row r="243" ht="4.95" customHeight="1" x14ac:dyDescent="0.7"/>
    <row r="244" ht="4.95" customHeight="1" x14ac:dyDescent="0.7"/>
    <row r="245" ht="4.95" customHeight="1" x14ac:dyDescent="0.7"/>
    <row r="246" ht="4.95" customHeight="1" x14ac:dyDescent="0.7"/>
    <row r="247" ht="4.95" customHeight="1" x14ac:dyDescent="0.7"/>
    <row r="248" ht="4.95" customHeight="1" x14ac:dyDescent="0.7"/>
    <row r="249" ht="4.95" customHeight="1" x14ac:dyDescent="0.7"/>
    <row r="250" ht="4.95" customHeight="1" x14ac:dyDescent="0.7"/>
    <row r="251" ht="4.95" customHeight="1" x14ac:dyDescent="0.7"/>
    <row r="252" ht="4.95" customHeight="1" x14ac:dyDescent="0.7"/>
    <row r="253" ht="4.95" customHeight="1" x14ac:dyDescent="0.7"/>
    <row r="254" ht="4.95" customHeight="1" x14ac:dyDescent="0.7"/>
    <row r="255" ht="4.95" customHeight="1" x14ac:dyDescent="0.7"/>
    <row r="256" ht="4.95" customHeight="1" x14ac:dyDescent="0.7"/>
    <row r="257" ht="4.95" customHeight="1" x14ac:dyDescent="0.7"/>
    <row r="258" ht="4.95" customHeight="1" x14ac:dyDescent="0.7"/>
    <row r="259" ht="4.95" customHeight="1" x14ac:dyDescent="0.7"/>
    <row r="260" ht="4.95" customHeight="1" x14ac:dyDescent="0.7"/>
    <row r="261" ht="4.95" customHeight="1" x14ac:dyDescent="0.7"/>
    <row r="262" ht="4.95" customHeight="1" x14ac:dyDescent="0.7"/>
    <row r="263" ht="4.95" customHeight="1" x14ac:dyDescent="0.7"/>
    <row r="264" ht="4.95" customHeight="1" x14ac:dyDescent="0.7"/>
    <row r="265" ht="4.95" customHeight="1" x14ac:dyDescent="0.7"/>
    <row r="266" ht="4.95" customHeight="1" x14ac:dyDescent="0.7"/>
    <row r="267" ht="4.95" customHeight="1" x14ac:dyDescent="0.7"/>
    <row r="268" ht="4.95" customHeight="1" x14ac:dyDescent="0.7"/>
    <row r="269" ht="4.95" customHeight="1" x14ac:dyDescent="0.7"/>
    <row r="270" ht="4.95" customHeight="1" x14ac:dyDescent="0.7"/>
    <row r="271" ht="4.95" customHeight="1" x14ac:dyDescent="0.7"/>
    <row r="272" ht="4.95" customHeight="1" x14ac:dyDescent="0.7"/>
    <row r="273" ht="4.95" customHeight="1" x14ac:dyDescent="0.7"/>
    <row r="274" ht="4.95" customHeight="1" x14ac:dyDescent="0.7"/>
    <row r="275" ht="4.95" customHeight="1" x14ac:dyDescent="0.7"/>
    <row r="276" ht="4.95" customHeight="1" x14ac:dyDescent="0.7"/>
    <row r="277" ht="4.95" customHeight="1" x14ac:dyDescent="0.7"/>
    <row r="278" ht="4.95" customHeight="1" x14ac:dyDescent="0.7"/>
    <row r="279" ht="4.95" customHeight="1" x14ac:dyDescent="0.7"/>
    <row r="280" ht="4.95" customHeight="1" x14ac:dyDescent="0.7"/>
    <row r="281" ht="4.95" customHeight="1" x14ac:dyDescent="0.7"/>
    <row r="282" ht="4.95" customHeight="1" x14ac:dyDescent="0.7"/>
    <row r="283" ht="4.95" customHeight="1" x14ac:dyDescent="0.7"/>
    <row r="284" ht="4.95" customHeight="1" x14ac:dyDescent="0.7"/>
    <row r="285" ht="4.95" customHeight="1" x14ac:dyDescent="0.7"/>
    <row r="286" ht="4.95" customHeight="1" x14ac:dyDescent="0.7"/>
    <row r="287" ht="4.95" customHeight="1" x14ac:dyDescent="0.7"/>
    <row r="288" ht="4.95" customHeight="1" x14ac:dyDescent="0.7"/>
    <row r="289" ht="4.95" customHeight="1" x14ac:dyDescent="0.7"/>
    <row r="290" ht="4.95" customHeight="1" x14ac:dyDescent="0.7"/>
    <row r="291" ht="4.95" customHeight="1" x14ac:dyDescent="0.7"/>
    <row r="292" ht="4.95" customHeight="1" x14ac:dyDescent="0.7"/>
    <row r="293" ht="4.95" customHeight="1" x14ac:dyDescent="0.7"/>
    <row r="294" ht="4.95" customHeight="1" x14ac:dyDescent="0.7"/>
    <row r="295" ht="4.95" customHeight="1" x14ac:dyDescent="0.7"/>
    <row r="296" ht="4.95" customHeight="1" x14ac:dyDescent="0.7"/>
    <row r="297" ht="4.95" customHeight="1" x14ac:dyDescent="0.7"/>
    <row r="298" ht="4.95" customHeight="1" x14ac:dyDescent="0.7"/>
    <row r="299" ht="4.95" customHeight="1" x14ac:dyDescent="0.7"/>
    <row r="300" ht="4.95" customHeight="1" x14ac:dyDescent="0.7"/>
    <row r="301" ht="4.95" customHeight="1" x14ac:dyDescent="0.7"/>
    <row r="302" ht="4.95" customHeight="1" x14ac:dyDescent="0.7"/>
    <row r="303" ht="4.95" customHeight="1" x14ac:dyDescent="0.7"/>
    <row r="304" ht="4.95" customHeight="1" x14ac:dyDescent="0.7"/>
    <row r="305" ht="4.95" customHeight="1" x14ac:dyDescent="0.7"/>
    <row r="306" ht="4.95" customHeight="1" x14ac:dyDescent="0.7"/>
    <row r="307" ht="4.95" customHeight="1" x14ac:dyDescent="0.7"/>
    <row r="308" ht="4.95" customHeight="1" x14ac:dyDescent="0.7"/>
    <row r="309" ht="4.95" customHeight="1" x14ac:dyDescent="0.7"/>
    <row r="310" ht="4.95" customHeight="1" x14ac:dyDescent="0.7"/>
    <row r="311" ht="4.95" customHeight="1" x14ac:dyDescent="0.7"/>
    <row r="312" ht="4.95" customHeight="1" x14ac:dyDescent="0.7"/>
    <row r="313" ht="4.95" customHeight="1" x14ac:dyDescent="0.7"/>
    <row r="314" ht="4.95" customHeight="1" x14ac:dyDescent="0.7"/>
    <row r="315" ht="4.95" customHeight="1" x14ac:dyDescent="0.7"/>
    <row r="316" ht="4.95" customHeight="1" x14ac:dyDescent="0.7"/>
    <row r="317" ht="4.95" customHeight="1" x14ac:dyDescent="0.7"/>
    <row r="318" ht="4.95" customHeight="1" x14ac:dyDescent="0.7"/>
    <row r="319" ht="4.95" customHeight="1" x14ac:dyDescent="0.7"/>
    <row r="320" ht="4.95" customHeight="1" x14ac:dyDescent="0.7"/>
    <row r="321" ht="4.95" customHeight="1" x14ac:dyDescent="0.7"/>
    <row r="322" ht="4.95" customHeight="1" x14ac:dyDescent="0.7"/>
    <row r="323" ht="4.95" customHeight="1" x14ac:dyDescent="0.7"/>
    <row r="324" ht="4.95" customHeight="1" x14ac:dyDescent="0.7"/>
    <row r="325" ht="4.95" customHeight="1" x14ac:dyDescent="0.7"/>
    <row r="326" ht="4.95" customHeight="1" x14ac:dyDescent="0.7"/>
    <row r="327" ht="4.95" customHeight="1" x14ac:dyDescent="0.7"/>
    <row r="328" ht="4.95" customHeight="1" x14ac:dyDescent="0.7"/>
    <row r="329" ht="4.95" customHeight="1" x14ac:dyDescent="0.7"/>
    <row r="330" ht="4.95" customHeight="1" x14ac:dyDescent="0.7"/>
    <row r="331" ht="4.95" customHeight="1" x14ac:dyDescent="0.7"/>
    <row r="332" ht="4.95" customHeight="1" x14ac:dyDescent="0.7"/>
    <row r="333" ht="4.95" customHeight="1" x14ac:dyDescent="0.7"/>
    <row r="334" ht="4.95" customHeight="1" x14ac:dyDescent="0.7"/>
    <row r="335" ht="4.95" customHeight="1" x14ac:dyDescent="0.7"/>
    <row r="336" ht="4.95" customHeight="1" x14ac:dyDescent="0.7"/>
    <row r="337" ht="4.95" customHeight="1" x14ac:dyDescent="0.7"/>
    <row r="338" ht="4.95" customHeight="1" x14ac:dyDescent="0.7"/>
    <row r="339" ht="4.95" customHeight="1" x14ac:dyDescent="0.7"/>
    <row r="340" ht="4.95" customHeight="1" x14ac:dyDescent="0.7"/>
    <row r="341" ht="4.95" customHeight="1" x14ac:dyDescent="0.7"/>
    <row r="342" ht="4.95" customHeight="1" x14ac:dyDescent="0.7"/>
    <row r="343" ht="4.95" customHeight="1" x14ac:dyDescent="0.7"/>
    <row r="344" ht="4.95" customHeight="1" x14ac:dyDescent="0.7"/>
    <row r="345" ht="4.95" customHeight="1" x14ac:dyDescent="0.7"/>
    <row r="346" ht="4.95" customHeight="1" x14ac:dyDescent="0.7"/>
    <row r="347" ht="4.95" customHeight="1" x14ac:dyDescent="0.7"/>
    <row r="348" ht="4.95" customHeight="1" x14ac:dyDescent="0.7"/>
    <row r="349" ht="4.95" customHeight="1" x14ac:dyDescent="0.7"/>
    <row r="350" ht="4.95" customHeight="1" x14ac:dyDescent="0.7"/>
    <row r="351" ht="4.95" customHeight="1" x14ac:dyDescent="0.7"/>
    <row r="352" ht="4.95" customHeight="1" x14ac:dyDescent="0.7"/>
    <row r="353" ht="4.95" customHeight="1" x14ac:dyDescent="0.7"/>
    <row r="354" ht="4.95" customHeight="1" x14ac:dyDescent="0.7"/>
    <row r="355" ht="4.95" customHeight="1" x14ac:dyDescent="0.7"/>
    <row r="356" ht="4.95" customHeight="1" x14ac:dyDescent="0.7"/>
    <row r="357" ht="4.95" customHeight="1" x14ac:dyDescent="0.7"/>
    <row r="358" ht="4.95" customHeight="1" x14ac:dyDescent="0.7"/>
    <row r="359" ht="4.95" customHeight="1" x14ac:dyDescent="0.7"/>
    <row r="360" ht="4.95" customHeight="1" x14ac:dyDescent="0.7"/>
    <row r="361" ht="4.95" customHeight="1" x14ac:dyDescent="0.7"/>
    <row r="362" ht="4.95" customHeight="1" x14ac:dyDescent="0.7"/>
    <row r="363" ht="4.95" customHeight="1" x14ac:dyDescent="0.7"/>
    <row r="364" ht="4.95" customHeight="1" x14ac:dyDescent="0.7"/>
    <row r="365" ht="4.95" customHeight="1" x14ac:dyDescent="0.7"/>
    <row r="366" ht="4.95" customHeight="1" x14ac:dyDescent="0.7"/>
    <row r="367" ht="4.95" customHeight="1" x14ac:dyDescent="0.7"/>
    <row r="368" ht="4.95" customHeight="1" x14ac:dyDescent="0.7"/>
    <row r="369" ht="4.95" customHeight="1" x14ac:dyDescent="0.7"/>
    <row r="370" ht="4.95" customHeight="1" x14ac:dyDescent="0.7"/>
    <row r="371" ht="4.95" customHeight="1" x14ac:dyDescent="0.7"/>
    <row r="372" ht="4.95" customHeight="1" x14ac:dyDescent="0.7"/>
    <row r="373" ht="4.95" customHeight="1" x14ac:dyDescent="0.7"/>
    <row r="374" ht="4.95" customHeight="1" x14ac:dyDescent="0.7"/>
    <row r="375" ht="4.95" customHeight="1" x14ac:dyDescent="0.7"/>
    <row r="376" ht="4.95" customHeight="1" x14ac:dyDescent="0.7"/>
    <row r="377" ht="4.95" customHeight="1" x14ac:dyDescent="0.7"/>
    <row r="378" ht="4.95" customHeight="1" x14ac:dyDescent="0.7"/>
    <row r="379" ht="4.95" customHeight="1" x14ac:dyDescent="0.7"/>
    <row r="380" ht="4.95" customHeight="1" x14ac:dyDescent="0.7"/>
    <row r="381" ht="4.95" customHeight="1" x14ac:dyDescent="0.7"/>
    <row r="382" ht="4.95" customHeight="1" x14ac:dyDescent="0.7"/>
    <row r="383" ht="4.95" customHeight="1" x14ac:dyDescent="0.7"/>
    <row r="384" ht="4.95" customHeight="1" x14ac:dyDescent="0.7"/>
    <row r="385" ht="4.95" customHeight="1" x14ac:dyDescent="0.7"/>
    <row r="386" ht="4.95" customHeight="1" x14ac:dyDescent="0.7"/>
    <row r="387" ht="4.95" customHeight="1" x14ac:dyDescent="0.7"/>
    <row r="388" ht="4.95" customHeight="1" x14ac:dyDescent="0.7"/>
    <row r="389" ht="4.95" customHeight="1" x14ac:dyDescent="0.7"/>
    <row r="390" ht="4.95" customHeight="1" x14ac:dyDescent="0.7"/>
    <row r="391" ht="4.95" customHeight="1" x14ac:dyDescent="0.7"/>
    <row r="392" ht="4.95" customHeight="1" x14ac:dyDescent="0.7"/>
    <row r="393" ht="4.95" customHeight="1" x14ac:dyDescent="0.7"/>
    <row r="394" ht="4.95" customHeight="1" x14ac:dyDescent="0.7"/>
    <row r="395" ht="4.95" customHeight="1" x14ac:dyDescent="0.7"/>
    <row r="396" ht="4.95" customHeight="1" x14ac:dyDescent="0.7"/>
    <row r="397" ht="4.95" customHeight="1" x14ac:dyDescent="0.7"/>
    <row r="398" ht="4.95" customHeight="1" x14ac:dyDescent="0.7"/>
    <row r="399" ht="4.95" customHeight="1" x14ac:dyDescent="0.7"/>
    <row r="400" ht="4.95" customHeight="1" x14ac:dyDescent="0.7"/>
    <row r="401" ht="4.95" customHeight="1" x14ac:dyDescent="0.7"/>
    <row r="402" ht="4.95" customHeight="1" x14ac:dyDescent="0.7"/>
    <row r="403" ht="4.95" customHeight="1" x14ac:dyDescent="0.7"/>
    <row r="404" ht="4.95" customHeight="1" x14ac:dyDescent="0.7"/>
    <row r="405" ht="4.95" customHeight="1" x14ac:dyDescent="0.7"/>
    <row r="406" ht="4.95" customHeight="1" x14ac:dyDescent="0.7"/>
    <row r="407" ht="4.95" customHeight="1" x14ac:dyDescent="0.7"/>
    <row r="408" ht="4.95" customHeight="1" x14ac:dyDescent="0.7"/>
    <row r="409" ht="4.95" customHeight="1" x14ac:dyDescent="0.7"/>
    <row r="410" ht="4.95" customHeight="1" x14ac:dyDescent="0.7"/>
    <row r="411" ht="4.95" customHeight="1" x14ac:dyDescent="0.7"/>
    <row r="412" ht="4.95" customHeight="1" x14ac:dyDescent="0.7"/>
    <row r="413" ht="4.95" customHeight="1" x14ac:dyDescent="0.7"/>
    <row r="414" ht="4.95" customHeight="1" x14ac:dyDescent="0.7"/>
    <row r="415" ht="4.95" customHeight="1" x14ac:dyDescent="0.7"/>
    <row r="416" ht="4.95" customHeight="1" x14ac:dyDescent="0.7"/>
    <row r="417" ht="4.95" customHeight="1" x14ac:dyDescent="0.7"/>
    <row r="418" ht="4.95" customHeight="1" x14ac:dyDescent="0.7"/>
    <row r="419" ht="4.95" customHeight="1" x14ac:dyDescent="0.7"/>
    <row r="420" ht="4.95" customHeight="1" x14ac:dyDescent="0.7"/>
    <row r="421" ht="4.95" customHeight="1" x14ac:dyDescent="0.7"/>
    <row r="422" ht="4.95" customHeight="1" x14ac:dyDescent="0.7"/>
    <row r="423" ht="4.95" customHeight="1" x14ac:dyDescent="0.7"/>
    <row r="424" ht="4.95" customHeight="1" x14ac:dyDescent="0.7"/>
    <row r="425" ht="4.95" customHeight="1" x14ac:dyDescent="0.7"/>
    <row r="426" ht="4.95" customHeight="1" x14ac:dyDescent="0.7"/>
    <row r="427" ht="4.95" customHeight="1" x14ac:dyDescent="0.7"/>
    <row r="428" ht="4.95" customHeight="1" x14ac:dyDescent="0.7"/>
    <row r="429" ht="4.95" customHeight="1" x14ac:dyDescent="0.7"/>
    <row r="430" ht="4.95" customHeight="1" x14ac:dyDescent="0.7"/>
    <row r="431" ht="4.95" customHeight="1" x14ac:dyDescent="0.7"/>
    <row r="432" ht="4.95" customHeight="1" x14ac:dyDescent="0.7"/>
    <row r="433" ht="4.95" customHeight="1" x14ac:dyDescent="0.7"/>
    <row r="434" ht="4.95" customHeight="1" x14ac:dyDescent="0.7"/>
    <row r="435" ht="4.95" customHeight="1" x14ac:dyDescent="0.7"/>
    <row r="436" ht="4.95" customHeight="1" x14ac:dyDescent="0.7"/>
    <row r="437" ht="4.95" customHeight="1" x14ac:dyDescent="0.7"/>
    <row r="438" ht="4.95" customHeight="1" x14ac:dyDescent="0.7"/>
    <row r="439" ht="4.95" customHeight="1" x14ac:dyDescent="0.7"/>
    <row r="440" ht="4.95" customHeight="1" x14ac:dyDescent="0.7"/>
    <row r="441" ht="4.95" customHeight="1" x14ac:dyDescent="0.7"/>
    <row r="442" ht="4.95" customHeight="1" x14ac:dyDescent="0.7"/>
    <row r="443" ht="4.95" customHeight="1" x14ac:dyDescent="0.7"/>
    <row r="444" ht="4.95" customHeight="1" x14ac:dyDescent="0.7"/>
    <row r="445" ht="4.95" customHeight="1" x14ac:dyDescent="0.7"/>
    <row r="446" ht="4.95" customHeight="1" x14ac:dyDescent="0.7"/>
    <row r="447" ht="4.95" customHeight="1" x14ac:dyDescent="0.7"/>
    <row r="448" ht="4.95" customHeight="1" x14ac:dyDescent="0.7"/>
    <row r="449" ht="4.95" customHeight="1" x14ac:dyDescent="0.7"/>
    <row r="450" ht="4.95" customHeight="1" x14ac:dyDescent="0.7"/>
    <row r="451" ht="4.95" customHeight="1" x14ac:dyDescent="0.7"/>
    <row r="452" ht="4.95" customHeight="1" x14ac:dyDescent="0.7"/>
    <row r="453" ht="4.95" customHeight="1" x14ac:dyDescent="0.7"/>
    <row r="454" ht="4.95" customHeight="1" x14ac:dyDescent="0.7"/>
    <row r="455" ht="4.95" customHeight="1" x14ac:dyDescent="0.7"/>
    <row r="456" ht="4.95" customHeight="1" x14ac:dyDescent="0.7"/>
    <row r="457" ht="4.95" customHeight="1" x14ac:dyDescent="0.7"/>
    <row r="458" ht="4.95" customHeight="1" x14ac:dyDescent="0.7"/>
    <row r="459" ht="4.95" customHeight="1" x14ac:dyDescent="0.7"/>
    <row r="460" ht="4.95" customHeight="1" x14ac:dyDescent="0.7"/>
    <row r="461" ht="4.95" customHeight="1" x14ac:dyDescent="0.7"/>
    <row r="462" ht="4.95" customHeight="1" x14ac:dyDescent="0.7"/>
    <row r="463" ht="4.95" customHeight="1" x14ac:dyDescent="0.7"/>
    <row r="464" ht="4.95" customHeight="1" x14ac:dyDescent="0.7"/>
    <row r="465" ht="4.95" customHeight="1" x14ac:dyDescent="0.7"/>
    <row r="466" ht="4.95" customHeight="1" x14ac:dyDescent="0.7"/>
    <row r="467" ht="4.95" customHeight="1" x14ac:dyDescent="0.7"/>
    <row r="468" ht="4.95" customHeight="1" x14ac:dyDescent="0.7"/>
    <row r="469" ht="4.95" customHeight="1" x14ac:dyDescent="0.7"/>
    <row r="470" ht="4.95" customHeight="1" x14ac:dyDescent="0.7"/>
    <row r="471" ht="4.95" customHeight="1" x14ac:dyDescent="0.7"/>
    <row r="472" ht="4.95" customHeight="1" x14ac:dyDescent="0.7"/>
    <row r="473" ht="4.95" customHeight="1" x14ac:dyDescent="0.7"/>
    <row r="474" ht="4.95" customHeight="1" x14ac:dyDescent="0.7"/>
    <row r="475" ht="4.95" customHeight="1" x14ac:dyDescent="0.7"/>
    <row r="476" ht="4.95" customHeight="1" x14ac:dyDescent="0.7"/>
    <row r="477" ht="4.95" customHeight="1" x14ac:dyDescent="0.7"/>
    <row r="478" ht="4.95" customHeight="1" x14ac:dyDescent="0.7"/>
    <row r="479" ht="4.95" customHeight="1" x14ac:dyDescent="0.7"/>
    <row r="480" ht="4.95" customHeight="1" x14ac:dyDescent="0.7"/>
    <row r="481" ht="4.95" customHeight="1" x14ac:dyDescent="0.7"/>
    <row r="482" ht="4.95" customHeight="1" x14ac:dyDescent="0.7"/>
    <row r="483" ht="4.95" customHeight="1" x14ac:dyDescent="0.7"/>
    <row r="484" ht="4.95" customHeight="1" x14ac:dyDescent="0.7"/>
    <row r="485" ht="4.95" customHeight="1" x14ac:dyDescent="0.7"/>
    <row r="486" ht="4.95" customHeight="1" x14ac:dyDescent="0.7"/>
    <row r="487" ht="4.95" customHeight="1" x14ac:dyDescent="0.7"/>
    <row r="488" ht="4.95" customHeight="1" x14ac:dyDescent="0.7"/>
    <row r="489" ht="4.95" customHeight="1" x14ac:dyDescent="0.7"/>
    <row r="490" ht="4.95" customHeight="1" x14ac:dyDescent="0.7"/>
    <row r="491" ht="4.95" customHeight="1" x14ac:dyDescent="0.7"/>
    <row r="492" ht="4.95" customHeight="1" x14ac:dyDescent="0.7"/>
    <row r="493" ht="4.95" customHeight="1" x14ac:dyDescent="0.7"/>
    <row r="494" ht="4.95" customHeight="1" x14ac:dyDescent="0.7"/>
    <row r="495" ht="4.95" customHeight="1" x14ac:dyDescent="0.7"/>
    <row r="496" ht="4.95" customHeight="1" x14ac:dyDescent="0.7"/>
    <row r="497" ht="4.95" customHeight="1" x14ac:dyDescent="0.7"/>
    <row r="498" ht="4.95" customHeight="1" x14ac:dyDescent="0.7"/>
    <row r="499" ht="4.95" customHeight="1" x14ac:dyDescent="0.7"/>
    <row r="500" ht="4.95" customHeight="1" x14ac:dyDescent="0.7"/>
    <row r="501" ht="4.95" customHeight="1" x14ac:dyDescent="0.7"/>
    <row r="502" ht="4.95" customHeight="1" x14ac:dyDescent="0.7"/>
    <row r="503" ht="4.95" customHeight="1" x14ac:dyDescent="0.7"/>
    <row r="504" ht="4.95" customHeight="1" x14ac:dyDescent="0.7"/>
    <row r="505" ht="4.95" customHeight="1" x14ac:dyDescent="0.7"/>
    <row r="506" ht="4.95" customHeight="1" x14ac:dyDescent="0.7"/>
    <row r="507" ht="4.95" customHeight="1" x14ac:dyDescent="0.7"/>
    <row r="508" ht="4.95" customHeight="1" x14ac:dyDescent="0.7"/>
    <row r="509" ht="4.95" customHeight="1" x14ac:dyDescent="0.7"/>
    <row r="510" ht="4.95" customHeight="1" x14ac:dyDescent="0.7"/>
    <row r="511" ht="4.95" customHeight="1" x14ac:dyDescent="0.7"/>
    <row r="512" ht="4.95" customHeight="1" x14ac:dyDescent="0.7"/>
    <row r="513" ht="4.95" customHeight="1" x14ac:dyDescent="0.7"/>
    <row r="514" ht="4.95" customHeight="1" x14ac:dyDescent="0.7"/>
    <row r="515" ht="4.95" customHeight="1" x14ac:dyDescent="0.7"/>
    <row r="516" ht="4.95" customHeight="1" x14ac:dyDescent="0.7"/>
    <row r="517" ht="4.95" customHeight="1" x14ac:dyDescent="0.7"/>
    <row r="518" ht="4.95" customHeight="1" x14ac:dyDescent="0.7"/>
    <row r="519" ht="4.95" customHeight="1" x14ac:dyDescent="0.7"/>
    <row r="520" ht="4.95" customHeight="1" x14ac:dyDescent="0.7"/>
    <row r="521" ht="4.95" customHeight="1" x14ac:dyDescent="0.7"/>
    <row r="522" ht="4.95" customHeight="1" x14ac:dyDescent="0.7"/>
    <row r="523" ht="4.95" customHeight="1" x14ac:dyDescent="0.7"/>
    <row r="524" ht="4.95" customHeight="1" x14ac:dyDescent="0.7"/>
    <row r="525" ht="4.95" customHeight="1" x14ac:dyDescent="0.7"/>
    <row r="526" ht="4.95" customHeight="1" x14ac:dyDescent="0.7"/>
    <row r="527" ht="4.95" customHeight="1" x14ac:dyDescent="0.7"/>
    <row r="528" ht="4.95" customHeight="1" x14ac:dyDescent="0.7"/>
    <row r="529" ht="4.95" customHeight="1" x14ac:dyDescent="0.7"/>
    <row r="530" ht="4.95" customHeight="1" x14ac:dyDescent="0.7"/>
    <row r="531" ht="4.95" customHeight="1" x14ac:dyDescent="0.7"/>
    <row r="532" ht="4.95" customHeight="1" x14ac:dyDescent="0.7"/>
    <row r="533" ht="4.95" customHeight="1" x14ac:dyDescent="0.7"/>
    <row r="534" ht="4.95" customHeight="1" x14ac:dyDescent="0.7"/>
    <row r="535" ht="4.95" customHeight="1" x14ac:dyDescent="0.7"/>
    <row r="536" ht="4.95" customHeight="1" x14ac:dyDescent="0.7"/>
    <row r="537" ht="4.95" customHeight="1" x14ac:dyDescent="0.7"/>
    <row r="538" ht="4.95" customHeight="1" x14ac:dyDescent="0.7"/>
    <row r="539" ht="4.95" customHeight="1" x14ac:dyDescent="0.7"/>
    <row r="540" ht="4.95" customHeight="1" x14ac:dyDescent="0.7"/>
    <row r="541" ht="4.95" customHeight="1" x14ac:dyDescent="0.7"/>
    <row r="542" ht="4.95" customHeight="1" x14ac:dyDescent="0.7"/>
    <row r="543" ht="4.95" customHeight="1" x14ac:dyDescent="0.7"/>
    <row r="544" ht="4.95" customHeight="1" x14ac:dyDescent="0.7"/>
    <row r="545" ht="4.95" customHeight="1" x14ac:dyDescent="0.7"/>
    <row r="546" ht="4.95" customHeight="1" x14ac:dyDescent="0.7"/>
    <row r="547" ht="4.95" customHeight="1" x14ac:dyDescent="0.7"/>
    <row r="548" ht="4.95" customHeight="1" x14ac:dyDescent="0.7"/>
    <row r="549" ht="4.95" customHeight="1" x14ac:dyDescent="0.7"/>
    <row r="550" ht="4.95" customHeight="1" x14ac:dyDescent="0.7"/>
    <row r="551" ht="4.95" customHeight="1" x14ac:dyDescent="0.7"/>
    <row r="552" ht="4.95" customHeight="1" x14ac:dyDescent="0.7"/>
    <row r="553" ht="4.95" customHeight="1" x14ac:dyDescent="0.7"/>
    <row r="554" ht="4.95" customHeight="1" x14ac:dyDescent="0.7"/>
    <row r="555" ht="4.95" customHeight="1" x14ac:dyDescent="0.7"/>
    <row r="556" ht="4.95" customHeight="1" x14ac:dyDescent="0.7"/>
    <row r="557" ht="4.95" customHeight="1" x14ac:dyDescent="0.7"/>
    <row r="558" ht="4.95" customHeight="1" x14ac:dyDescent="0.7"/>
    <row r="559" ht="4.95" customHeight="1" x14ac:dyDescent="0.7"/>
    <row r="560" ht="4.95" customHeight="1" x14ac:dyDescent="0.7"/>
    <row r="561" ht="4.95" customHeight="1" x14ac:dyDescent="0.7"/>
    <row r="562" ht="4.95" customHeight="1" x14ac:dyDescent="0.7"/>
    <row r="563" ht="4.95" customHeight="1" x14ac:dyDescent="0.7"/>
    <row r="564" ht="4.95" customHeight="1" x14ac:dyDescent="0.7"/>
    <row r="565" ht="4.95" customHeight="1" x14ac:dyDescent="0.7"/>
    <row r="566" ht="4.95" customHeight="1" x14ac:dyDescent="0.7"/>
    <row r="567" ht="4.95" customHeight="1" x14ac:dyDescent="0.7"/>
    <row r="568" ht="4.95" customHeight="1" x14ac:dyDescent="0.7"/>
    <row r="569" ht="4.95" customHeight="1" x14ac:dyDescent="0.7"/>
    <row r="570" ht="4.95" customHeight="1" x14ac:dyDescent="0.7"/>
    <row r="571" ht="4.95" customHeight="1" x14ac:dyDescent="0.7"/>
    <row r="572" ht="4.95" customHeight="1" x14ac:dyDescent="0.7"/>
    <row r="573" ht="4.95" customHeight="1" x14ac:dyDescent="0.7"/>
    <row r="574" ht="4.95" customHeight="1" x14ac:dyDescent="0.7"/>
    <row r="575" ht="4.95" customHeight="1" x14ac:dyDescent="0.7"/>
    <row r="576" ht="4.95" customHeight="1" x14ac:dyDescent="0.7"/>
    <row r="577" ht="4.95" customHeight="1" x14ac:dyDescent="0.7"/>
    <row r="578" ht="4.95" customHeight="1" x14ac:dyDescent="0.7"/>
    <row r="579" ht="4.95" customHeight="1" x14ac:dyDescent="0.7"/>
    <row r="580" ht="4.95" customHeight="1" x14ac:dyDescent="0.7"/>
    <row r="581" ht="4.95" customHeight="1" x14ac:dyDescent="0.7"/>
    <row r="582" ht="4.95" customHeight="1" x14ac:dyDescent="0.7"/>
    <row r="583" ht="4.95" customHeight="1" x14ac:dyDescent="0.7"/>
    <row r="584" ht="4.95" customHeight="1" x14ac:dyDescent="0.7"/>
    <row r="585" ht="4.95" customHeight="1" x14ac:dyDescent="0.7"/>
    <row r="586" ht="4.95" customHeight="1" x14ac:dyDescent="0.7"/>
    <row r="587" ht="4.95" customHeight="1" x14ac:dyDescent="0.7"/>
    <row r="588" ht="4.95" customHeight="1" x14ac:dyDescent="0.7"/>
    <row r="589" ht="4.95" customHeight="1" x14ac:dyDescent="0.7"/>
    <row r="590" ht="4.95" customHeight="1" x14ac:dyDescent="0.7"/>
    <row r="591" ht="4.95" customHeight="1" x14ac:dyDescent="0.7"/>
    <row r="592" ht="4.95" customHeight="1" x14ac:dyDescent="0.7"/>
    <row r="593" ht="4.95" customHeight="1" x14ac:dyDescent="0.7"/>
    <row r="594" ht="4.95" customHeight="1" x14ac:dyDescent="0.7"/>
    <row r="595" ht="4.95" customHeight="1" x14ac:dyDescent="0.7"/>
    <row r="596" ht="4.95" customHeight="1" x14ac:dyDescent="0.7"/>
    <row r="597" ht="4.95" customHeight="1" x14ac:dyDescent="0.7"/>
    <row r="598" ht="4.95" customHeight="1" x14ac:dyDescent="0.7"/>
    <row r="599" ht="4.95" customHeight="1" x14ac:dyDescent="0.7"/>
    <row r="600" ht="4.95" customHeight="1" x14ac:dyDescent="0.7"/>
    <row r="601" ht="4.95" customHeight="1" x14ac:dyDescent="0.7"/>
    <row r="602" ht="4.95" customHeight="1" x14ac:dyDescent="0.7"/>
    <row r="603" ht="4.95" customHeight="1" x14ac:dyDescent="0.7"/>
    <row r="604" ht="4.95" customHeight="1" x14ac:dyDescent="0.7"/>
    <row r="605" ht="4.95" customHeight="1" x14ac:dyDescent="0.7"/>
    <row r="606" ht="4.95" customHeight="1" x14ac:dyDescent="0.7"/>
    <row r="607" ht="4.95" customHeight="1" x14ac:dyDescent="0.7"/>
    <row r="608" ht="4.95" customHeight="1" x14ac:dyDescent="0.7"/>
    <row r="609" ht="4.95" customHeight="1" x14ac:dyDescent="0.7"/>
    <row r="610" ht="4.95" customHeight="1" x14ac:dyDescent="0.7"/>
    <row r="611" ht="4.95" customHeight="1" x14ac:dyDescent="0.7"/>
    <row r="612" ht="4.95" customHeight="1" x14ac:dyDescent="0.7"/>
    <row r="613" ht="4.95" customHeight="1" x14ac:dyDescent="0.7"/>
    <row r="614" ht="4.95" customHeight="1" x14ac:dyDescent="0.7"/>
    <row r="615" ht="4.95" customHeight="1" x14ac:dyDescent="0.7"/>
    <row r="616" ht="4.95" customHeight="1" x14ac:dyDescent="0.7"/>
    <row r="617" ht="4.95" customHeight="1" x14ac:dyDescent="0.7"/>
    <row r="618" ht="4.95" customHeight="1" x14ac:dyDescent="0.7"/>
    <row r="619" ht="4.95" customHeight="1" x14ac:dyDescent="0.7"/>
    <row r="620" ht="4.95" customHeight="1" x14ac:dyDescent="0.7"/>
    <row r="621" ht="4.95" customHeight="1" x14ac:dyDescent="0.7"/>
    <row r="622" ht="4.95" customHeight="1" x14ac:dyDescent="0.7"/>
    <row r="623" ht="4.95" customHeight="1" x14ac:dyDescent="0.7"/>
    <row r="624" ht="4.95" customHeight="1" x14ac:dyDescent="0.7"/>
    <row r="625" ht="4.95" customHeight="1" x14ac:dyDescent="0.7"/>
    <row r="626" ht="4.95" customHeight="1" x14ac:dyDescent="0.7"/>
    <row r="627" ht="4.95" customHeight="1" x14ac:dyDescent="0.7"/>
    <row r="628" ht="4.95" customHeight="1" x14ac:dyDescent="0.7"/>
    <row r="629" ht="4.95" customHeight="1" x14ac:dyDescent="0.7"/>
    <row r="630" ht="4.95" customHeight="1" x14ac:dyDescent="0.7"/>
    <row r="631" ht="4.95" customHeight="1" x14ac:dyDescent="0.7"/>
    <row r="632" ht="4.95" customHeight="1" x14ac:dyDescent="0.7"/>
    <row r="633" ht="4.95" customHeight="1" x14ac:dyDescent="0.7"/>
    <row r="634" ht="4.95" customHeight="1" x14ac:dyDescent="0.7"/>
    <row r="635" ht="4.95" customHeight="1" x14ac:dyDescent="0.7"/>
    <row r="636" ht="4.95" customHeight="1" x14ac:dyDescent="0.7"/>
    <row r="637" ht="4.95" customHeight="1" x14ac:dyDescent="0.7"/>
    <row r="638" ht="4.95" customHeight="1" x14ac:dyDescent="0.7"/>
    <row r="639" ht="4.95" customHeight="1" x14ac:dyDescent="0.7"/>
    <row r="640" ht="4.95" customHeight="1" x14ac:dyDescent="0.7"/>
    <row r="641" ht="4.95" customHeight="1" x14ac:dyDescent="0.7"/>
    <row r="642" ht="4.95" customHeight="1" x14ac:dyDescent="0.7"/>
    <row r="643" ht="4.95" customHeight="1" x14ac:dyDescent="0.7"/>
    <row r="644" ht="4.95" customHeight="1" x14ac:dyDescent="0.7"/>
    <row r="645" ht="4.95" customHeight="1" x14ac:dyDescent="0.7"/>
    <row r="646" ht="4.95" customHeight="1" x14ac:dyDescent="0.7"/>
    <row r="647" ht="4.95" customHeight="1" x14ac:dyDescent="0.7"/>
    <row r="648" ht="4.95" customHeight="1" x14ac:dyDescent="0.7"/>
    <row r="649" ht="4.95" customHeight="1" x14ac:dyDescent="0.7"/>
    <row r="650" ht="4.95" customHeight="1" x14ac:dyDescent="0.7"/>
    <row r="651" ht="4.95" customHeight="1" x14ac:dyDescent="0.7"/>
    <row r="652" ht="4.95" customHeight="1" x14ac:dyDescent="0.7"/>
    <row r="653" ht="4.95" customHeight="1" x14ac:dyDescent="0.7"/>
    <row r="654" ht="4.95" customHeight="1" x14ac:dyDescent="0.7"/>
    <row r="655" ht="4.95" customHeight="1" x14ac:dyDescent="0.7"/>
    <row r="656" ht="4.95" customHeight="1" x14ac:dyDescent="0.7"/>
    <row r="657" ht="4.95" customHeight="1" x14ac:dyDescent="0.7"/>
    <row r="658" ht="4.95" customHeight="1" x14ac:dyDescent="0.7"/>
    <row r="659" ht="4.95" customHeight="1" x14ac:dyDescent="0.7"/>
    <row r="660" ht="4.95" customHeight="1" x14ac:dyDescent="0.7"/>
    <row r="661" ht="4.95" customHeight="1" x14ac:dyDescent="0.7"/>
    <row r="662" ht="4.95" customHeight="1" x14ac:dyDescent="0.7"/>
    <row r="663" ht="4.95" customHeight="1" x14ac:dyDescent="0.7"/>
    <row r="664" ht="4.95" customHeight="1" x14ac:dyDescent="0.7"/>
    <row r="665" ht="4.95" customHeight="1" x14ac:dyDescent="0.7"/>
    <row r="666" ht="4.95" customHeight="1" x14ac:dyDescent="0.7"/>
    <row r="667" ht="4.95" customHeight="1" x14ac:dyDescent="0.7"/>
    <row r="668" ht="4.95" customHeight="1" x14ac:dyDescent="0.7"/>
    <row r="669" ht="4.95" customHeight="1" x14ac:dyDescent="0.7"/>
    <row r="670" ht="4.95" customHeight="1" x14ac:dyDescent="0.7"/>
    <row r="671" ht="4.95" customHeight="1" x14ac:dyDescent="0.7"/>
    <row r="672" ht="4.95" customHeight="1" x14ac:dyDescent="0.7"/>
    <row r="673" ht="4.95" customHeight="1" x14ac:dyDescent="0.7"/>
    <row r="674" ht="4.95" customHeight="1" x14ac:dyDescent="0.7"/>
    <row r="675" ht="4.95" customHeight="1" x14ac:dyDescent="0.7"/>
    <row r="676" ht="4.95" customHeight="1" x14ac:dyDescent="0.7"/>
    <row r="677" ht="4.95" customHeight="1" x14ac:dyDescent="0.7"/>
    <row r="678" ht="4.95" customHeight="1" x14ac:dyDescent="0.7"/>
    <row r="679" ht="4.95" customHeight="1" x14ac:dyDescent="0.7"/>
    <row r="680" ht="4.95" customHeight="1" x14ac:dyDescent="0.7"/>
    <row r="681" ht="4.95" customHeight="1" x14ac:dyDescent="0.7"/>
    <row r="682" ht="4.95" customHeight="1" x14ac:dyDescent="0.7"/>
    <row r="683" ht="4.95" customHeight="1" x14ac:dyDescent="0.7"/>
    <row r="684" ht="4.95" customHeight="1" x14ac:dyDescent="0.7"/>
    <row r="685" ht="4.95" customHeight="1" x14ac:dyDescent="0.7"/>
    <row r="686" ht="4.95" customHeight="1" x14ac:dyDescent="0.7"/>
    <row r="687" ht="4.95" customHeight="1" x14ac:dyDescent="0.7"/>
    <row r="688" ht="4.95" customHeight="1" x14ac:dyDescent="0.7"/>
    <row r="689" ht="4.95" customHeight="1" x14ac:dyDescent="0.7"/>
    <row r="690" ht="4.95" customHeight="1" x14ac:dyDescent="0.7"/>
    <row r="691" ht="4.95" customHeight="1" x14ac:dyDescent="0.7"/>
    <row r="692" ht="4.95" customHeight="1" x14ac:dyDescent="0.7"/>
    <row r="693" ht="4.95" customHeight="1" x14ac:dyDescent="0.7"/>
    <row r="694" ht="4.95" customHeight="1" x14ac:dyDescent="0.7"/>
    <row r="695" ht="4.95" customHeight="1" x14ac:dyDescent="0.7"/>
    <row r="696" ht="4.95" customHeight="1" x14ac:dyDescent="0.7"/>
    <row r="697" ht="4.95" customHeight="1" x14ac:dyDescent="0.7"/>
    <row r="698" ht="4.95" customHeight="1" x14ac:dyDescent="0.7"/>
    <row r="699" ht="4.95" customHeight="1" x14ac:dyDescent="0.7"/>
    <row r="700" ht="4.95" customHeight="1" x14ac:dyDescent="0.7"/>
    <row r="701" ht="4.95" customHeight="1" x14ac:dyDescent="0.7"/>
    <row r="702" ht="4.95" customHeight="1" x14ac:dyDescent="0.7"/>
    <row r="703" ht="4.95" customHeight="1" x14ac:dyDescent="0.7"/>
    <row r="704" ht="4.95" customHeight="1" x14ac:dyDescent="0.7"/>
    <row r="705" ht="4.95" customHeight="1" x14ac:dyDescent="0.7"/>
    <row r="706" ht="4.95" customHeight="1" x14ac:dyDescent="0.7"/>
    <row r="707" ht="4.95" customHeight="1" x14ac:dyDescent="0.7"/>
    <row r="708" ht="4.95" customHeight="1" x14ac:dyDescent="0.7"/>
    <row r="709" ht="4.95" customHeight="1" x14ac:dyDescent="0.7"/>
    <row r="710" ht="4.95" customHeight="1" x14ac:dyDescent="0.7"/>
    <row r="711" ht="4.95" customHeight="1" x14ac:dyDescent="0.7"/>
    <row r="712" ht="4.95" customHeight="1" x14ac:dyDescent="0.7"/>
    <row r="713" ht="4.95" customHeight="1" x14ac:dyDescent="0.7"/>
    <row r="714" ht="4.95" customHeight="1" x14ac:dyDescent="0.7"/>
    <row r="715" ht="4.95" customHeight="1" x14ac:dyDescent="0.7"/>
    <row r="716" ht="4.95" customHeight="1" x14ac:dyDescent="0.7"/>
    <row r="717" ht="4.95" customHeight="1" x14ac:dyDescent="0.7"/>
    <row r="718" ht="4.95" customHeight="1" x14ac:dyDescent="0.7"/>
    <row r="719" ht="4.95" customHeight="1" x14ac:dyDescent="0.7"/>
    <row r="720" ht="4.95" customHeight="1" x14ac:dyDescent="0.7"/>
    <row r="721" ht="4.95" customHeight="1" x14ac:dyDescent="0.7"/>
    <row r="722" ht="4.95" customHeight="1" x14ac:dyDescent="0.7"/>
    <row r="723" ht="4.95" customHeight="1" x14ac:dyDescent="0.7"/>
    <row r="724" ht="4.95" customHeight="1" x14ac:dyDescent="0.7"/>
    <row r="725" ht="4.95" customHeight="1" x14ac:dyDescent="0.7"/>
    <row r="726" ht="4.95" customHeight="1" x14ac:dyDescent="0.7"/>
    <row r="727" ht="4.95" customHeight="1" x14ac:dyDescent="0.7"/>
    <row r="728" ht="4.95" customHeight="1" x14ac:dyDescent="0.7"/>
    <row r="729" ht="4.95" customHeight="1" x14ac:dyDescent="0.7"/>
    <row r="730" ht="4.95" customHeight="1" x14ac:dyDescent="0.7"/>
    <row r="731" ht="4.95" customHeight="1" x14ac:dyDescent="0.7"/>
    <row r="732" ht="4.95" customHeight="1" x14ac:dyDescent="0.7"/>
    <row r="733" ht="4.95" customHeight="1" x14ac:dyDescent="0.7"/>
    <row r="734" ht="4.95" customHeight="1" x14ac:dyDescent="0.7"/>
    <row r="735" ht="4.95" customHeight="1" x14ac:dyDescent="0.7"/>
    <row r="736" ht="4.95" customHeight="1" x14ac:dyDescent="0.7"/>
    <row r="737" ht="4.95" customHeight="1" x14ac:dyDescent="0.7"/>
    <row r="738" ht="4.95" customHeight="1" x14ac:dyDescent="0.7"/>
    <row r="739" ht="4.95" customHeight="1" x14ac:dyDescent="0.7"/>
    <row r="740" ht="4.95" customHeight="1" x14ac:dyDescent="0.7"/>
    <row r="741" ht="4.95" customHeight="1" x14ac:dyDescent="0.7"/>
    <row r="742" ht="4.95" customHeight="1" x14ac:dyDescent="0.7"/>
    <row r="743" ht="4.95" customHeight="1" x14ac:dyDescent="0.7"/>
    <row r="744" ht="4.95" customHeight="1" x14ac:dyDescent="0.7"/>
    <row r="745" ht="4.95" customHeight="1" x14ac:dyDescent="0.7"/>
    <row r="746" ht="4.95" customHeight="1" x14ac:dyDescent="0.7"/>
    <row r="747" ht="4.95" customHeight="1" x14ac:dyDescent="0.7"/>
    <row r="748" ht="4.95" customHeight="1" x14ac:dyDescent="0.7"/>
    <row r="749" ht="4.95" customHeight="1" x14ac:dyDescent="0.7"/>
    <row r="750" ht="4.95" customHeight="1" x14ac:dyDescent="0.7"/>
    <row r="751" ht="4.95" customHeight="1" x14ac:dyDescent="0.7"/>
    <row r="752" ht="4.95" customHeight="1" x14ac:dyDescent="0.7"/>
    <row r="753" ht="4.95" customHeight="1" x14ac:dyDescent="0.7"/>
    <row r="754" ht="4.95" customHeight="1" x14ac:dyDescent="0.7"/>
    <row r="755" ht="4.95" customHeight="1" x14ac:dyDescent="0.7"/>
    <row r="756" ht="4.95" customHeight="1" x14ac:dyDescent="0.7"/>
    <row r="757" ht="4.95" customHeight="1" x14ac:dyDescent="0.7"/>
    <row r="758" ht="4.95" customHeight="1" x14ac:dyDescent="0.7"/>
    <row r="759" ht="4.95" customHeight="1" x14ac:dyDescent="0.7"/>
    <row r="760" ht="4.95" customHeight="1" x14ac:dyDescent="0.7"/>
    <row r="761" ht="4.95" customHeight="1" x14ac:dyDescent="0.7"/>
    <row r="762" ht="4.95" customHeight="1" x14ac:dyDescent="0.7"/>
    <row r="763" ht="4.95" customHeight="1" x14ac:dyDescent="0.7"/>
    <row r="764" ht="4.95" customHeight="1" x14ac:dyDescent="0.7"/>
    <row r="765" ht="4.95" customHeight="1" x14ac:dyDescent="0.7"/>
    <row r="766" ht="4.95" customHeight="1" x14ac:dyDescent="0.7"/>
    <row r="767" ht="4.95" customHeight="1" x14ac:dyDescent="0.7"/>
    <row r="768" ht="4.95" customHeight="1" x14ac:dyDescent="0.7"/>
    <row r="769" ht="4.95" customHeight="1" x14ac:dyDescent="0.7"/>
    <row r="770" ht="4.95" customHeight="1" x14ac:dyDescent="0.7"/>
    <row r="771" ht="4.95" customHeight="1" x14ac:dyDescent="0.7"/>
    <row r="772" ht="4.95" customHeight="1" x14ac:dyDescent="0.7"/>
    <row r="773" ht="4.95" customHeight="1" x14ac:dyDescent="0.7"/>
    <row r="774" ht="4.95" customHeight="1" x14ac:dyDescent="0.7"/>
    <row r="775" ht="4.95" customHeight="1" x14ac:dyDescent="0.7"/>
    <row r="776" ht="4.95" customHeight="1" x14ac:dyDescent="0.7"/>
    <row r="777" ht="4.95" customHeight="1" x14ac:dyDescent="0.7"/>
    <row r="778" ht="4.95" customHeight="1" x14ac:dyDescent="0.7"/>
    <row r="779" ht="4.95" customHeight="1" x14ac:dyDescent="0.7"/>
    <row r="780" ht="4.95" customHeight="1" x14ac:dyDescent="0.7"/>
    <row r="781" ht="4.95" customHeight="1" x14ac:dyDescent="0.7"/>
    <row r="782" ht="4.95" customHeight="1" x14ac:dyDescent="0.7"/>
    <row r="783" ht="4.95" customHeight="1" x14ac:dyDescent="0.7"/>
    <row r="784" ht="4.95" customHeight="1" x14ac:dyDescent="0.7"/>
    <row r="785" ht="4.95" customHeight="1" x14ac:dyDescent="0.7"/>
    <row r="786" ht="4.95" customHeight="1" x14ac:dyDescent="0.7"/>
    <row r="787" ht="4.95" customHeight="1" x14ac:dyDescent="0.7"/>
    <row r="788" ht="4.95" customHeight="1" x14ac:dyDescent="0.7"/>
    <row r="789" ht="4.95" customHeight="1" x14ac:dyDescent="0.7"/>
    <row r="790" ht="4.95" customHeight="1" x14ac:dyDescent="0.7"/>
    <row r="791" ht="4.95" customHeight="1" x14ac:dyDescent="0.7"/>
    <row r="792" ht="4.95" customHeight="1" x14ac:dyDescent="0.7"/>
    <row r="793" ht="4.95" customHeight="1" x14ac:dyDescent="0.7"/>
    <row r="794" ht="4.95" customHeight="1" x14ac:dyDescent="0.7"/>
    <row r="795" ht="4.95" customHeight="1" x14ac:dyDescent="0.7"/>
    <row r="796" ht="4.95" customHeight="1" x14ac:dyDescent="0.7"/>
    <row r="797" ht="4.95" customHeight="1" x14ac:dyDescent="0.7"/>
    <row r="798" ht="4.95" customHeight="1" x14ac:dyDescent="0.7"/>
    <row r="799" ht="4.95" customHeight="1" x14ac:dyDescent="0.7"/>
    <row r="800" ht="4.95" customHeight="1" x14ac:dyDescent="0.7"/>
    <row r="801" ht="4.95" customHeight="1" x14ac:dyDescent="0.7"/>
    <row r="802" ht="4.95" customHeight="1" x14ac:dyDescent="0.7"/>
    <row r="803" ht="4.95" customHeight="1" x14ac:dyDescent="0.7"/>
    <row r="804" ht="4.95" customHeight="1" x14ac:dyDescent="0.7"/>
    <row r="805" ht="4.95" customHeight="1" x14ac:dyDescent="0.7"/>
    <row r="806" ht="4.95" customHeight="1" x14ac:dyDescent="0.7"/>
    <row r="807" ht="4.95" customHeight="1" x14ac:dyDescent="0.7"/>
    <row r="808" ht="4.95" customHeight="1" x14ac:dyDescent="0.7"/>
    <row r="809" ht="4.95" customHeight="1" x14ac:dyDescent="0.7"/>
    <row r="810" ht="4.95" customHeight="1" x14ac:dyDescent="0.7"/>
    <row r="811" ht="4.95" customHeight="1" x14ac:dyDescent="0.7"/>
    <row r="812" ht="4.95" customHeight="1" x14ac:dyDescent="0.7"/>
    <row r="813" ht="4.95" customHeight="1" x14ac:dyDescent="0.7"/>
    <row r="814" ht="4.95" customHeight="1" x14ac:dyDescent="0.7"/>
    <row r="815" ht="4.95" customHeight="1" x14ac:dyDescent="0.7"/>
    <row r="816" ht="4.95" customHeight="1" x14ac:dyDescent="0.7"/>
    <row r="817" ht="4.95" customHeight="1" x14ac:dyDescent="0.7"/>
    <row r="818" ht="4.95" customHeight="1" x14ac:dyDescent="0.7"/>
    <row r="819" ht="4.95" customHeight="1" x14ac:dyDescent="0.7"/>
    <row r="820" ht="4.95" customHeight="1" x14ac:dyDescent="0.7"/>
    <row r="821" ht="4.95" customHeight="1" x14ac:dyDescent="0.7"/>
    <row r="822" ht="4.95" customHeight="1" x14ac:dyDescent="0.7"/>
    <row r="823" ht="4.95" customHeight="1" x14ac:dyDescent="0.7"/>
    <row r="824" ht="4.95" customHeight="1" x14ac:dyDescent="0.7"/>
    <row r="825" ht="4.95" customHeight="1" x14ac:dyDescent="0.7"/>
    <row r="826" ht="4.95" customHeight="1" x14ac:dyDescent="0.7"/>
    <row r="827" ht="4.95" customHeight="1" x14ac:dyDescent="0.7"/>
    <row r="828" ht="4.95" customHeight="1" x14ac:dyDescent="0.7"/>
    <row r="829" ht="4.95" customHeight="1" x14ac:dyDescent="0.7"/>
    <row r="830" ht="4.95" customHeight="1" x14ac:dyDescent="0.7"/>
    <row r="831" ht="4.95" customHeight="1" x14ac:dyDescent="0.7"/>
    <row r="832" ht="4.95" customHeight="1" x14ac:dyDescent="0.7"/>
    <row r="833" ht="4.95" customHeight="1" x14ac:dyDescent="0.7"/>
    <row r="834" ht="4.95" customHeight="1" x14ac:dyDescent="0.7"/>
    <row r="835" ht="4.95" customHeight="1" x14ac:dyDescent="0.7"/>
    <row r="836" ht="4.95" customHeight="1" x14ac:dyDescent="0.7"/>
    <row r="837" ht="4.95" customHeight="1" x14ac:dyDescent="0.7"/>
    <row r="838" ht="4.95" customHeight="1" x14ac:dyDescent="0.7"/>
    <row r="839" ht="4.95" customHeight="1" x14ac:dyDescent="0.7"/>
    <row r="840" ht="4.95" customHeight="1" x14ac:dyDescent="0.7"/>
    <row r="841" ht="4.95" customHeight="1" x14ac:dyDescent="0.7"/>
    <row r="842" ht="4.95" customHeight="1" x14ac:dyDescent="0.7"/>
    <row r="843" ht="4.95" customHeight="1" x14ac:dyDescent="0.7"/>
    <row r="844" ht="4.95" customHeight="1" x14ac:dyDescent="0.7"/>
    <row r="845" ht="4.95" customHeight="1" x14ac:dyDescent="0.7"/>
    <row r="846" ht="4.95" customHeight="1" x14ac:dyDescent="0.7"/>
    <row r="847" ht="4.95" customHeight="1" x14ac:dyDescent="0.7"/>
    <row r="848" ht="4.95" customHeight="1" x14ac:dyDescent="0.7"/>
    <row r="849" ht="4.95" customHeight="1" x14ac:dyDescent="0.7"/>
    <row r="850" ht="4.95" customHeight="1" x14ac:dyDescent="0.7"/>
    <row r="851" ht="4.95" customHeight="1" x14ac:dyDescent="0.7"/>
    <row r="852" ht="4.95" customHeight="1" x14ac:dyDescent="0.7"/>
    <row r="853" ht="4.95" customHeight="1" x14ac:dyDescent="0.7"/>
    <row r="854" ht="4.95" customHeight="1" x14ac:dyDescent="0.7"/>
    <row r="855" ht="4.95" customHeight="1" x14ac:dyDescent="0.7"/>
    <row r="856" ht="4.95" customHeight="1" x14ac:dyDescent="0.7"/>
    <row r="857" ht="4.95" customHeight="1" x14ac:dyDescent="0.7"/>
    <row r="858" ht="4.95" customHeight="1" x14ac:dyDescent="0.7"/>
    <row r="859" ht="4.95" customHeight="1" x14ac:dyDescent="0.7"/>
    <row r="860" ht="4.95" customHeight="1" x14ac:dyDescent="0.7"/>
    <row r="861" ht="4.95" customHeight="1" x14ac:dyDescent="0.7"/>
    <row r="862" ht="4.95" customHeight="1" x14ac:dyDescent="0.7"/>
    <row r="863" ht="4.95" customHeight="1" x14ac:dyDescent="0.7"/>
    <row r="864" ht="4.95" customHeight="1" x14ac:dyDescent="0.7"/>
    <row r="865" ht="4.95" customHeight="1" x14ac:dyDescent="0.7"/>
    <row r="866" ht="4.95" customHeight="1" x14ac:dyDescent="0.7"/>
    <row r="867" ht="4.95" customHeight="1" x14ac:dyDescent="0.7"/>
    <row r="868" ht="4.95" customHeight="1" x14ac:dyDescent="0.7"/>
    <row r="869" ht="4.95" customHeight="1" x14ac:dyDescent="0.7"/>
    <row r="870" ht="4.95" customHeight="1" x14ac:dyDescent="0.7"/>
    <row r="871" ht="4.95" customHeight="1" x14ac:dyDescent="0.7"/>
    <row r="872" ht="4.95" customHeight="1" x14ac:dyDescent="0.7"/>
    <row r="873" ht="4.95" customHeight="1" x14ac:dyDescent="0.7"/>
    <row r="874" ht="4.95" customHeight="1" x14ac:dyDescent="0.7"/>
    <row r="875" ht="4.95" customHeight="1" x14ac:dyDescent="0.7"/>
    <row r="876" ht="4.95" customHeight="1" x14ac:dyDescent="0.7"/>
    <row r="877" ht="4.95" customHeight="1" x14ac:dyDescent="0.7"/>
    <row r="878" ht="4.95" customHeight="1" x14ac:dyDescent="0.7"/>
    <row r="879" ht="4.95" customHeight="1" x14ac:dyDescent="0.7"/>
    <row r="880" ht="4.95" customHeight="1" x14ac:dyDescent="0.7"/>
    <row r="881" ht="4.95" customHeight="1" x14ac:dyDescent="0.7"/>
    <row r="882" ht="4.95" customHeight="1" x14ac:dyDescent="0.7"/>
    <row r="883" ht="4.95" customHeight="1" x14ac:dyDescent="0.7"/>
    <row r="884" ht="4.95" customHeight="1" x14ac:dyDescent="0.7"/>
    <row r="885" ht="4.95" customHeight="1" x14ac:dyDescent="0.7"/>
    <row r="886" ht="4.95" customHeight="1" x14ac:dyDescent="0.7"/>
    <row r="887" ht="4.95" customHeight="1" x14ac:dyDescent="0.7"/>
    <row r="888" ht="4.95" customHeight="1" x14ac:dyDescent="0.7"/>
    <row r="889" ht="4.95" customHeight="1" x14ac:dyDescent="0.7"/>
    <row r="890" ht="4.95" customHeight="1" x14ac:dyDescent="0.7"/>
    <row r="891" ht="4.95" customHeight="1" x14ac:dyDescent="0.7"/>
    <row r="892" ht="4.95" customHeight="1" x14ac:dyDescent="0.7"/>
    <row r="893" ht="4.95" customHeight="1" x14ac:dyDescent="0.7"/>
    <row r="894" ht="4.95" customHeight="1" x14ac:dyDescent="0.7"/>
    <row r="895" ht="4.95" customHeight="1" x14ac:dyDescent="0.7"/>
    <row r="896" ht="4.95" customHeight="1" x14ac:dyDescent="0.7"/>
    <row r="897" ht="4.95" customHeight="1" x14ac:dyDescent="0.7"/>
    <row r="898" ht="4.95" customHeight="1" x14ac:dyDescent="0.7"/>
    <row r="899" ht="4.95" customHeight="1" x14ac:dyDescent="0.7"/>
    <row r="900" ht="4.95" customHeight="1" x14ac:dyDescent="0.7"/>
    <row r="901" ht="4.95" customHeight="1" x14ac:dyDescent="0.7"/>
    <row r="902" ht="4.95" customHeight="1" x14ac:dyDescent="0.7"/>
    <row r="903" ht="4.95" customHeight="1" x14ac:dyDescent="0.7"/>
    <row r="904" ht="4.95" customHeight="1" x14ac:dyDescent="0.7"/>
    <row r="905" ht="4.95" customHeight="1" x14ac:dyDescent="0.7"/>
    <row r="906" ht="4.95" customHeight="1" x14ac:dyDescent="0.7"/>
    <row r="907" ht="4.95" customHeight="1" x14ac:dyDescent="0.7"/>
    <row r="908" ht="4.95" customHeight="1" x14ac:dyDescent="0.7"/>
    <row r="909" ht="4.95" customHeight="1" x14ac:dyDescent="0.7"/>
    <row r="910" ht="4.95" customHeight="1" x14ac:dyDescent="0.7"/>
    <row r="911" ht="4.95" customHeight="1" x14ac:dyDescent="0.7"/>
    <row r="912" ht="4.95" customHeight="1" x14ac:dyDescent="0.7"/>
    <row r="913" ht="4.95" customHeight="1" x14ac:dyDescent="0.7"/>
    <row r="914" ht="4.95" customHeight="1" x14ac:dyDescent="0.7"/>
    <row r="915" ht="4.95" customHeight="1" x14ac:dyDescent="0.7"/>
    <row r="916" ht="4.95" customHeight="1" x14ac:dyDescent="0.7"/>
    <row r="917" ht="4.95" customHeight="1" x14ac:dyDescent="0.7"/>
    <row r="918" ht="4.95" customHeight="1" x14ac:dyDescent="0.7"/>
    <row r="919" ht="4.95" customHeight="1" x14ac:dyDescent="0.7"/>
    <row r="920" ht="4.95" customHeight="1" x14ac:dyDescent="0.7"/>
    <row r="921" ht="4.95" customHeight="1" x14ac:dyDescent="0.7"/>
    <row r="922" ht="4.95" customHeight="1" x14ac:dyDescent="0.7"/>
    <row r="923" ht="4.95" customHeight="1" x14ac:dyDescent="0.7"/>
    <row r="924" ht="4.95" customHeight="1" x14ac:dyDescent="0.7"/>
    <row r="925" ht="4.95" customHeight="1" x14ac:dyDescent="0.7"/>
    <row r="926" ht="4.95" customHeight="1" x14ac:dyDescent="0.7"/>
    <row r="927" ht="4.95" customHeight="1" x14ac:dyDescent="0.7"/>
    <row r="928" ht="4.95" customHeight="1" x14ac:dyDescent="0.7"/>
    <row r="929" ht="4.95" customHeight="1" x14ac:dyDescent="0.7"/>
    <row r="930" ht="4.95" customHeight="1" x14ac:dyDescent="0.7"/>
    <row r="931" ht="4.95" customHeight="1" x14ac:dyDescent="0.7"/>
    <row r="932" ht="4.95" customHeight="1" x14ac:dyDescent="0.7"/>
    <row r="933" ht="4.95" customHeight="1" x14ac:dyDescent="0.7"/>
    <row r="934" ht="4.95" customHeight="1" x14ac:dyDescent="0.7"/>
    <row r="935" ht="4.95" customHeight="1" x14ac:dyDescent="0.7"/>
    <row r="936" ht="4.95" customHeight="1" x14ac:dyDescent="0.7"/>
    <row r="937" ht="4.95" customHeight="1" x14ac:dyDescent="0.7"/>
    <row r="938" ht="4.95" customHeight="1" x14ac:dyDescent="0.7"/>
    <row r="939" ht="4.95" customHeight="1" x14ac:dyDescent="0.7"/>
    <row r="940" ht="4.95" customHeight="1" x14ac:dyDescent="0.7"/>
    <row r="941" ht="4.95" customHeight="1" x14ac:dyDescent="0.7"/>
    <row r="942" ht="4.95" customHeight="1" x14ac:dyDescent="0.7"/>
    <row r="943" ht="4.95" customHeight="1" x14ac:dyDescent="0.7"/>
    <row r="944" ht="4.95" customHeight="1" x14ac:dyDescent="0.7"/>
    <row r="945" ht="4.95" customHeight="1" x14ac:dyDescent="0.7"/>
    <row r="946" ht="4.95" customHeight="1" x14ac:dyDescent="0.7"/>
    <row r="947" ht="4.95" customHeight="1" x14ac:dyDescent="0.7"/>
    <row r="948" ht="4.95" customHeight="1" x14ac:dyDescent="0.7"/>
    <row r="949" ht="4.95" customHeight="1" x14ac:dyDescent="0.7"/>
    <row r="950" ht="4.95" customHeight="1" x14ac:dyDescent="0.7"/>
    <row r="951" ht="4.95" customHeight="1" x14ac:dyDescent="0.7"/>
    <row r="952" ht="4.95" customHeight="1" x14ac:dyDescent="0.7"/>
    <row r="953" ht="4.95" customHeight="1" x14ac:dyDescent="0.7"/>
    <row r="954" ht="4.95" customHeight="1" x14ac:dyDescent="0.7"/>
    <row r="955" ht="4.95" customHeight="1" x14ac:dyDescent="0.7"/>
    <row r="956" ht="4.95" customHeight="1" x14ac:dyDescent="0.7"/>
    <row r="957" ht="4.95" customHeight="1" x14ac:dyDescent="0.7"/>
    <row r="958" ht="4.95" customHeight="1" x14ac:dyDescent="0.7"/>
    <row r="959" ht="4.95" customHeight="1" x14ac:dyDescent="0.7"/>
    <row r="960" ht="4.95" customHeight="1" x14ac:dyDescent="0.7"/>
    <row r="961" ht="4.95" customHeight="1" x14ac:dyDescent="0.7"/>
    <row r="962" ht="4.95" customHeight="1" x14ac:dyDescent="0.7"/>
    <row r="963" ht="4.95" customHeight="1" x14ac:dyDescent="0.7"/>
    <row r="964" ht="4.95" customHeight="1" x14ac:dyDescent="0.7"/>
    <row r="965" ht="4.95" customHeight="1" x14ac:dyDescent="0.7"/>
    <row r="966" ht="4.95" customHeight="1" x14ac:dyDescent="0.7"/>
    <row r="967" ht="4.95" customHeight="1" x14ac:dyDescent="0.7"/>
    <row r="968" ht="4.95" customHeight="1" x14ac:dyDescent="0.7"/>
    <row r="969" ht="4.95" customHeight="1" x14ac:dyDescent="0.7"/>
    <row r="970" ht="4.95" customHeight="1" x14ac:dyDescent="0.7"/>
    <row r="971" ht="4.95" customHeight="1" x14ac:dyDescent="0.7"/>
    <row r="972" ht="4.95" customHeight="1" x14ac:dyDescent="0.7"/>
    <row r="973" ht="4.95" customHeight="1" x14ac:dyDescent="0.7"/>
    <row r="974" ht="4.95" customHeight="1" x14ac:dyDescent="0.7"/>
    <row r="975" ht="4.95" customHeight="1" x14ac:dyDescent="0.7"/>
    <row r="976" ht="4.95" customHeight="1" x14ac:dyDescent="0.7"/>
    <row r="977" ht="4.95" customHeight="1" x14ac:dyDescent="0.7"/>
    <row r="978" ht="4.95" customHeight="1" x14ac:dyDescent="0.7"/>
    <row r="979" ht="4.95" customHeight="1" x14ac:dyDescent="0.7"/>
    <row r="980" ht="4.95" customHeight="1" x14ac:dyDescent="0.7"/>
    <row r="981" ht="4.95" customHeight="1" x14ac:dyDescent="0.7"/>
    <row r="982" ht="4.95" customHeight="1" x14ac:dyDescent="0.7"/>
    <row r="983" ht="4.95" customHeight="1" x14ac:dyDescent="0.7"/>
    <row r="984" ht="4.95" customHeight="1" x14ac:dyDescent="0.7"/>
    <row r="985" ht="4.95" customHeight="1" x14ac:dyDescent="0.7"/>
    <row r="986" ht="4.95" customHeight="1" x14ac:dyDescent="0.7"/>
    <row r="987" ht="4.95" customHeight="1" x14ac:dyDescent="0.7"/>
    <row r="988" ht="4.95" customHeight="1" x14ac:dyDescent="0.7"/>
    <row r="989" ht="4.95" customHeight="1" x14ac:dyDescent="0.7"/>
    <row r="990" ht="4.95" customHeight="1" x14ac:dyDescent="0.7"/>
    <row r="991" ht="4.95" customHeight="1" x14ac:dyDescent="0.7"/>
    <row r="992" ht="4.95" customHeight="1" x14ac:dyDescent="0.7"/>
    <row r="993" ht="4.95" customHeight="1" x14ac:dyDescent="0.7"/>
    <row r="994" ht="4.95" customHeight="1" x14ac:dyDescent="0.7"/>
    <row r="995" ht="4.95" customHeight="1" x14ac:dyDescent="0.7"/>
    <row r="996" ht="4.95" customHeight="1" x14ac:dyDescent="0.7"/>
    <row r="997" ht="4.95" customHeight="1" x14ac:dyDescent="0.7"/>
    <row r="998" ht="4.95" customHeight="1" x14ac:dyDescent="0.7"/>
    <row r="999" ht="4.95" customHeight="1" x14ac:dyDescent="0.7"/>
  </sheetData>
  <sheetProtection algorithmName="SHA-512" hashValue="J+dZ1maZCa72R0YHWfn7T/N24ebQ9wWyQXxdxvXWAjm5rD0N0OE0U/USs4iIUHPPUzfBrQ31t8hwbKhMo2K/rw==" saltValue="l7v3BGeWDnRgnQviGRPWUw==" spinCount="100000" sheet="1" objects="1" scenarios="1" sort="0" autoFilter="0" pivotTables="0"/>
  <mergeCells count="95">
    <mergeCell ref="C6:C9"/>
    <mergeCell ref="D6:D19"/>
    <mergeCell ref="E6:E19"/>
    <mergeCell ref="B10:B16"/>
    <mergeCell ref="C10:C1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E40:E46"/>
    <mergeCell ref="B47:B53"/>
    <mergeCell ref="C47:C53"/>
    <mergeCell ref="D47:D53"/>
    <mergeCell ref="E47:E53"/>
    <mergeCell ref="B40:B46"/>
    <mergeCell ref="C40:C46"/>
    <mergeCell ref="E65:E67"/>
    <mergeCell ref="B54:B55"/>
    <mergeCell ref="C54:C55"/>
    <mergeCell ref="D54:D64"/>
    <mergeCell ref="E54:E64"/>
    <mergeCell ref="B56:B64"/>
    <mergeCell ref="C56:C64"/>
    <mergeCell ref="A29:A67"/>
    <mergeCell ref="B68:B77"/>
    <mergeCell ref="C68:C77"/>
    <mergeCell ref="D68:D83"/>
    <mergeCell ref="B65:B66"/>
    <mergeCell ref="C65:C66"/>
    <mergeCell ref="D65:D67"/>
    <mergeCell ref="D40:D46"/>
    <mergeCell ref="E68:E83"/>
    <mergeCell ref="B78:B83"/>
    <mergeCell ref="C78:C83"/>
    <mergeCell ref="B84:B97"/>
    <mergeCell ref="C84:C97"/>
    <mergeCell ref="D84:D101"/>
    <mergeCell ref="C111:C117"/>
    <mergeCell ref="B118:B135"/>
    <mergeCell ref="C118:C135"/>
    <mergeCell ref="D118:D145"/>
    <mergeCell ref="E84:E101"/>
    <mergeCell ref="B98:B101"/>
    <mergeCell ref="C98:C101"/>
    <mergeCell ref="B102:B110"/>
    <mergeCell ref="C102:C110"/>
    <mergeCell ref="D102:D117"/>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A156:A191"/>
    <mergeCell ref="B192:B194"/>
    <mergeCell ref="C156:C177"/>
    <mergeCell ref="C178:C185"/>
    <mergeCell ref="C186:C191"/>
    <mergeCell ref="A192:A203"/>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s>
  <conditionalFormatting sqref="C6:C28">
    <cfRule type="cellIs" dxfId="109" priority="49" stopIfTrue="1" operator="equal">
      <formula>0</formula>
    </cfRule>
    <cfRule type="cellIs" dxfId="108" priority="50" stopIfTrue="1" operator="lessThan">
      <formula>1.5</formula>
    </cfRule>
    <cfRule type="cellIs" dxfId="107" priority="51" stopIfTrue="1" operator="lessThan">
      <formula>2.5</formula>
    </cfRule>
    <cfRule type="cellIs" dxfId="106" priority="52" stopIfTrue="1" operator="greaterThanOrEqual">
      <formula>2.5</formula>
    </cfRule>
  </conditionalFormatting>
  <conditionalFormatting sqref="E6:E28">
    <cfRule type="cellIs" dxfId="105" priority="53" stopIfTrue="1" operator="equal">
      <formula>0</formula>
    </cfRule>
    <cfRule type="cellIs" dxfId="104" priority="54" stopIfTrue="1" operator="lessThan">
      <formula>1.5</formula>
    </cfRule>
    <cfRule type="cellIs" dxfId="103" priority="55" stopIfTrue="1" operator="lessThan">
      <formula>2.5</formula>
    </cfRule>
    <cfRule type="cellIs" dxfId="102" priority="56" stopIfTrue="1" operator="greaterThanOrEqual">
      <formula>2.5</formula>
    </cfRule>
  </conditionalFormatting>
  <conditionalFormatting sqref="C29:C67">
    <cfRule type="cellIs" dxfId="101" priority="41" stopIfTrue="1" operator="equal">
      <formula>0</formula>
    </cfRule>
    <cfRule type="cellIs" dxfId="100" priority="42" stopIfTrue="1" operator="lessThan">
      <formula>1.5</formula>
    </cfRule>
    <cfRule type="cellIs" dxfId="99" priority="43" stopIfTrue="1" operator="lessThan">
      <formula>2.5</formula>
    </cfRule>
    <cfRule type="cellIs" dxfId="98" priority="44" stopIfTrue="1" operator="greaterThanOrEqual">
      <formula>2.5</formula>
    </cfRule>
  </conditionalFormatting>
  <conditionalFormatting sqref="E29:E67">
    <cfRule type="cellIs" dxfId="97" priority="45" stopIfTrue="1" operator="equal">
      <formula>0</formula>
    </cfRule>
    <cfRule type="cellIs" dxfId="96" priority="46" stopIfTrue="1" operator="lessThan">
      <formula>1.5</formula>
    </cfRule>
    <cfRule type="cellIs" dxfId="95" priority="47" stopIfTrue="1" operator="lessThan">
      <formula>2.5</formula>
    </cfRule>
    <cfRule type="cellIs" dxfId="94" priority="48" stopIfTrue="1" operator="greaterThanOrEqual">
      <formula>2.5</formula>
    </cfRule>
  </conditionalFormatting>
  <conditionalFormatting sqref="C68:C145">
    <cfRule type="cellIs" dxfId="93" priority="33" stopIfTrue="1" operator="equal">
      <formula>0</formula>
    </cfRule>
    <cfRule type="cellIs" dxfId="92" priority="34" stopIfTrue="1" operator="lessThan">
      <formula>1.5</formula>
    </cfRule>
    <cfRule type="cellIs" dxfId="91" priority="35" stopIfTrue="1" operator="lessThan">
      <formula>2.5</formula>
    </cfRule>
    <cfRule type="cellIs" dxfId="90" priority="36" stopIfTrue="1" operator="greaterThanOrEqual">
      <formula>2.5</formula>
    </cfRule>
  </conditionalFormatting>
  <conditionalFormatting sqref="E68:E145">
    <cfRule type="cellIs" dxfId="89" priority="37" stopIfTrue="1" operator="equal">
      <formula>0</formula>
    </cfRule>
    <cfRule type="cellIs" dxfId="88" priority="38" stopIfTrue="1" operator="lessThan">
      <formula>1.5</formula>
    </cfRule>
    <cfRule type="cellIs" dxfId="87" priority="39" stopIfTrue="1" operator="lessThan">
      <formula>2.5</formula>
    </cfRule>
    <cfRule type="cellIs" dxfId="86" priority="40" stopIfTrue="1" operator="greaterThanOrEqual">
      <formula>2.5</formula>
    </cfRule>
  </conditionalFormatting>
  <conditionalFormatting sqref="C146:C155">
    <cfRule type="cellIs" dxfId="85" priority="25" stopIfTrue="1" operator="equal">
      <formula>0</formula>
    </cfRule>
    <cfRule type="cellIs" dxfId="84" priority="26" stopIfTrue="1" operator="lessThan">
      <formula>1.5</formula>
    </cfRule>
    <cfRule type="cellIs" dxfId="83" priority="27" stopIfTrue="1" operator="lessThan">
      <formula>2.5</formula>
    </cfRule>
    <cfRule type="cellIs" dxfId="82" priority="28" stopIfTrue="1" operator="greaterThanOrEqual">
      <formula>2.5</formula>
    </cfRule>
  </conditionalFormatting>
  <conditionalFormatting sqref="E146:E155">
    <cfRule type="cellIs" dxfId="81" priority="29" stopIfTrue="1" operator="equal">
      <formula>0</formula>
    </cfRule>
    <cfRule type="cellIs" dxfId="80" priority="30" stopIfTrue="1" operator="lessThan">
      <formula>1.5</formula>
    </cfRule>
    <cfRule type="cellIs" dxfId="79" priority="31" stopIfTrue="1" operator="lessThan">
      <formula>2.5</formula>
    </cfRule>
    <cfRule type="cellIs" dxfId="78" priority="32" stopIfTrue="1" operator="greaterThanOrEqual">
      <formula>2.5</formula>
    </cfRule>
  </conditionalFormatting>
  <conditionalFormatting sqref="C192:C203">
    <cfRule type="cellIs" dxfId="77" priority="17" stopIfTrue="1" operator="equal">
      <formula>0</formula>
    </cfRule>
    <cfRule type="cellIs" dxfId="76" priority="18" stopIfTrue="1" operator="lessThan">
      <formula>1.5</formula>
    </cfRule>
    <cfRule type="cellIs" dxfId="75" priority="19" stopIfTrue="1" operator="lessThan">
      <formula>2.5</formula>
    </cfRule>
    <cfRule type="cellIs" dxfId="74" priority="20" stopIfTrue="1" operator="greaterThanOrEqual">
      <formula>2.5</formula>
    </cfRule>
  </conditionalFormatting>
  <conditionalFormatting sqref="E192:E203">
    <cfRule type="cellIs" dxfId="73" priority="21" stopIfTrue="1" operator="equal">
      <formula>0</formula>
    </cfRule>
    <cfRule type="cellIs" dxfId="72" priority="22" stopIfTrue="1" operator="lessThan">
      <formula>1.5</formula>
    </cfRule>
    <cfRule type="cellIs" dxfId="71" priority="23" stopIfTrue="1" operator="lessThan">
      <formula>2.5</formula>
    </cfRule>
    <cfRule type="cellIs" dxfId="70" priority="24" stopIfTrue="1" operator="greaterThanOrEqual">
      <formula>2.5</formula>
    </cfRule>
  </conditionalFormatting>
  <conditionalFormatting sqref="C156:C177">
    <cfRule type="cellIs" dxfId="69" priority="13" stopIfTrue="1" operator="equal">
      <formula>0</formula>
    </cfRule>
    <cfRule type="cellIs" dxfId="68" priority="14" stopIfTrue="1" operator="lessThan">
      <formula>1.5</formula>
    </cfRule>
    <cfRule type="cellIs" dxfId="67" priority="15" stopIfTrue="1" operator="lessThan">
      <formula>2.5</formula>
    </cfRule>
    <cfRule type="cellIs" dxfId="66" priority="16" stopIfTrue="1" operator="greaterThanOrEqual">
      <formula>2.5</formula>
    </cfRule>
  </conditionalFormatting>
  <conditionalFormatting sqref="C178:C185">
    <cfRule type="cellIs" dxfId="65" priority="9" stopIfTrue="1" operator="equal">
      <formula>0</formula>
    </cfRule>
    <cfRule type="cellIs" dxfId="64" priority="10" stopIfTrue="1" operator="lessThan">
      <formula>1.5</formula>
    </cfRule>
    <cfRule type="cellIs" dxfId="63" priority="11" stopIfTrue="1" operator="lessThan">
      <formula>2.5</formula>
    </cfRule>
    <cfRule type="cellIs" dxfId="62" priority="12" stopIfTrue="1" operator="greaterThanOrEqual">
      <formula>2.5</formula>
    </cfRule>
  </conditionalFormatting>
  <conditionalFormatting sqref="C186:C191">
    <cfRule type="cellIs" dxfId="61" priority="5" stopIfTrue="1" operator="equal">
      <formula>0</formula>
    </cfRule>
    <cfRule type="cellIs" dxfId="60" priority="6" stopIfTrue="1" operator="lessThan">
      <formula>1.5</formula>
    </cfRule>
    <cfRule type="cellIs" dxfId="59" priority="7" stopIfTrue="1" operator="lessThan">
      <formula>2.5</formula>
    </cfRule>
    <cfRule type="cellIs" dxfId="58" priority="8" stopIfTrue="1" operator="greaterThanOrEqual">
      <formula>2.5</formula>
    </cfRule>
  </conditionalFormatting>
  <conditionalFormatting sqref="E156:E191">
    <cfRule type="cellIs" dxfId="57" priority="1" stopIfTrue="1" operator="equal">
      <formula>0</formula>
    </cfRule>
    <cfRule type="cellIs" dxfId="56" priority="2" stopIfTrue="1" operator="lessThan">
      <formula>1.5</formula>
    </cfRule>
    <cfRule type="cellIs" dxfId="55" priority="3" stopIfTrue="1" operator="lessThan">
      <formula>2.5</formula>
    </cfRule>
    <cfRule type="cellIs" dxfId="54"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
    <tabColor theme="5"/>
    <pageSetUpPr fitToPage="1"/>
  </sheetPr>
  <dimension ref="A1:CC38"/>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69140625" defaultRowHeight="21" customHeight="1" x14ac:dyDescent="0.7"/>
  <cols>
    <col min="1" max="1" width="5.69140625" style="138" customWidth="1"/>
    <col min="2" max="4" width="11.69140625" style="258" customWidth="1"/>
    <col min="5" max="5" width="18.15234375" style="260" bestFit="1" customWidth="1"/>
    <col min="6" max="6" width="7.69140625" style="260" bestFit="1" customWidth="1"/>
    <col min="7" max="7" width="25.3828125" style="261" bestFit="1" customWidth="1"/>
    <col min="8" max="8" width="33.69140625" style="262" customWidth="1"/>
    <col min="9" max="9" width="55.69140625" style="82" customWidth="1"/>
    <col min="10" max="13" width="10.3828125" style="74" customWidth="1"/>
    <col min="14" max="81" width="8.69140625" style="74"/>
    <col min="82" max="16384" width="8.69140625" style="12"/>
  </cols>
  <sheetData>
    <row r="1" spans="1:9" s="20" customFormat="1" ht="21" customHeight="1" x14ac:dyDescent="0.7">
      <c r="B1" s="18"/>
      <c r="C1" s="18"/>
      <c r="D1" s="18"/>
      <c r="E1" s="18"/>
      <c r="F1" s="18"/>
      <c r="H1" s="139"/>
    </row>
    <row r="2" spans="1:9" s="20" customFormat="1" ht="21" customHeight="1" x14ac:dyDescent="0.7">
      <c r="A2" s="21" t="s">
        <v>4</v>
      </c>
      <c r="B2" s="18"/>
      <c r="C2" s="18"/>
      <c r="D2" s="24"/>
      <c r="E2" s="24"/>
      <c r="F2" s="24"/>
      <c r="G2" s="42"/>
      <c r="H2" s="140"/>
      <c r="I2" s="42"/>
    </row>
    <row r="3" spans="1:9" s="20" customFormat="1" ht="21" customHeight="1" x14ac:dyDescent="0.7">
      <c r="A3" s="94" t="str" cm="1">
        <f t="array" aca="1" ref="A3" ca="1">MID(CELL("filename",A1),FIND("]",CELL("filename",A1))+1,256)</f>
        <v>Log</v>
      </c>
      <c r="B3" s="18"/>
      <c r="C3" s="18"/>
      <c r="D3" s="24"/>
      <c r="E3" s="24"/>
      <c r="F3" s="24"/>
      <c r="G3" s="42"/>
      <c r="H3" s="140"/>
      <c r="I3" s="42"/>
    </row>
    <row r="4" spans="1:9" s="20" customFormat="1" ht="4.95" customHeight="1" x14ac:dyDescent="0.7">
      <c r="A4" s="23" t="str">
        <f>IF($B4="","",SUBTOTAL(3,$B4:$B$5)*1)</f>
        <v/>
      </c>
      <c r="B4" s="24"/>
      <c r="C4" s="24"/>
      <c r="D4" s="24"/>
      <c r="E4" s="24"/>
      <c r="F4" s="24"/>
      <c r="G4" s="42"/>
      <c r="H4" s="140"/>
      <c r="I4" s="42"/>
    </row>
    <row r="5" spans="1:9" s="18" customFormat="1" ht="43.2" customHeight="1" x14ac:dyDescent="0.7">
      <c r="A5" s="197" t="s">
        <v>5</v>
      </c>
      <c r="B5" s="198" t="s">
        <v>1702</v>
      </c>
      <c r="C5" s="198" t="s">
        <v>1703</v>
      </c>
      <c r="D5" s="198" t="s">
        <v>1704</v>
      </c>
      <c r="E5" s="199" t="s">
        <v>1705</v>
      </c>
      <c r="F5" s="200" t="s">
        <v>1706</v>
      </c>
      <c r="G5" s="200" t="s">
        <v>36</v>
      </c>
      <c r="H5" s="201" t="s">
        <v>692</v>
      </c>
      <c r="I5" s="202" t="s">
        <v>1707</v>
      </c>
    </row>
    <row r="6" spans="1:9" ht="28.95" customHeight="1" x14ac:dyDescent="0.7">
      <c r="A6" s="138">
        <f>IF($B6="","",SUBTOTAL(3,$B$6:$B6)*1)</f>
        <v>1</v>
      </c>
      <c r="B6" s="258" t="s">
        <v>0</v>
      </c>
      <c r="C6" s="258" t="s">
        <v>1708</v>
      </c>
      <c r="D6" s="258" t="s">
        <v>2</v>
      </c>
      <c r="E6" s="259">
        <v>45784.76054398148</v>
      </c>
      <c r="F6" s="260" t="str">
        <f t="shared" ref="F6:F38" si="0">IF($I6="","",MID($I6, SEARCH("Cell", $I6) + LEN("Cell"), SEARCH("changed", $I6) - SEARCH("Cell", $I6) - LEN("Cell")))</f>
        <v xml:space="preserve"> $E$6 </v>
      </c>
      <c r="G6" s="261" t="str">
        <f t="shared" ref="G6:G38" si="1">IF($I6="","",IF(ISNUMBER(FIND("Cell", $I6)), MID($I6, 1, FIND("Cell", $I6)-2), $I6))</f>
        <v>DevCoAssessmentInput(P&amp;M)</v>
      </c>
      <c r="H6" s="262" t="s">
        <v>100</v>
      </c>
      <c r="I6" s="82" t="s">
        <v>1709</v>
      </c>
    </row>
    <row r="7" spans="1:9" ht="28.95" customHeight="1" x14ac:dyDescent="0.7">
      <c r="A7" s="138">
        <f>IF($B7="","",SUBTOTAL(3,$B$6:$B7)*1)</f>
        <v>2</v>
      </c>
      <c r="B7" s="258" t="s">
        <v>0</v>
      </c>
      <c r="C7" s="258" t="s">
        <v>1708</v>
      </c>
      <c r="D7" s="258" t="s">
        <v>2</v>
      </c>
      <c r="E7" s="259">
        <v>45784.760555555556</v>
      </c>
      <c r="F7" s="260" t="str">
        <f t="shared" si="0"/>
        <v xml:space="preserve"> $E$7 </v>
      </c>
      <c r="G7" s="261" t="str">
        <f t="shared" si="1"/>
        <v>DevCoAssessmentInput(P&amp;M)</v>
      </c>
      <c r="H7" s="262" t="s">
        <v>83</v>
      </c>
      <c r="I7" s="82" t="s">
        <v>1710</v>
      </c>
    </row>
    <row r="8" spans="1:9" ht="28.95" customHeight="1" x14ac:dyDescent="0.7">
      <c r="A8" s="138">
        <f>IF($B8="","",SUBTOTAL(3,$B$6:$B8)*1)</f>
        <v>3</v>
      </c>
      <c r="B8" s="258" t="s">
        <v>0</v>
      </c>
      <c r="C8" s="258" t="s">
        <v>1708</v>
      </c>
      <c r="D8" s="258" t="s">
        <v>2</v>
      </c>
      <c r="E8" s="259">
        <v>45784.760567129626</v>
      </c>
      <c r="F8" s="260" t="str">
        <f t="shared" si="0"/>
        <v xml:space="preserve"> $E$8 </v>
      </c>
      <c r="G8" s="261" t="str">
        <f t="shared" si="1"/>
        <v>DevCoAssessmentInput(P&amp;M)</v>
      </c>
      <c r="H8" s="262" t="s">
        <v>703</v>
      </c>
      <c r="I8" s="82" t="s">
        <v>1711</v>
      </c>
    </row>
    <row r="9" spans="1:9" ht="28.95" customHeight="1" x14ac:dyDescent="0.7">
      <c r="A9" s="138">
        <f>IF($B9="","",SUBTOTAL(3,$B$6:$B9)*1)</f>
        <v>4</v>
      </c>
      <c r="B9" s="258" t="s">
        <v>0</v>
      </c>
      <c r="C9" s="258" t="s">
        <v>1708</v>
      </c>
      <c r="D9" s="258" t="s">
        <v>2</v>
      </c>
      <c r="E9" s="259">
        <v>45784.760601851849</v>
      </c>
      <c r="F9" s="260" t="str">
        <f t="shared" si="0"/>
        <v xml:space="preserve"> $G$6 </v>
      </c>
      <c r="G9" s="261" t="str">
        <f t="shared" si="1"/>
        <v>DevCoAssessmentInput(P&amp;M)</v>
      </c>
      <c r="H9" s="262" t="s">
        <v>100</v>
      </c>
      <c r="I9" s="82" t="s">
        <v>1712</v>
      </c>
    </row>
    <row r="10" spans="1:9" ht="28.95" customHeight="1" x14ac:dyDescent="0.7">
      <c r="A10" s="138">
        <f>IF($B10="","",SUBTOTAL(3,$B$6:$B10)*1)</f>
        <v>5</v>
      </c>
      <c r="B10" s="258" t="s">
        <v>0</v>
      </c>
      <c r="C10" s="258" t="s">
        <v>1708</v>
      </c>
      <c r="D10" s="258" t="s">
        <v>2</v>
      </c>
      <c r="E10" s="259">
        <v>45784.760601851849</v>
      </c>
      <c r="F10" s="260" t="str">
        <f t="shared" si="0"/>
        <v xml:space="preserve"> $G$7 </v>
      </c>
      <c r="G10" s="261" t="str">
        <f t="shared" si="1"/>
        <v>DevCoAssessmentInput(P&amp;M)</v>
      </c>
      <c r="H10" s="262" t="s">
        <v>83</v>
      </c>
      <c r="I10" s="82" t="s">
        <v>1713</v>
      </c>
    </row>
    <row r="11" spans="1:9" ht="28.95" customHeight="1" x14ac:dyDescent="0.7">
      <c r="A11" s="138">
        <f>IF($B11="","",SUBTOTAL(3,$B$6:$B11)*1)</f>
        <v>6</v>
      </c>
      <c r="B11" s="258" t="s">
        <v>0</v>
      </c>
      <c r="C11" s="258" t="s">
        <v>1708</v>
      </c>
      <c r="D11" s="258" t="s">
        <v>2</v>
      </c>
      <c r="E11" s="259">
        <v>45784.760613425926</v>
      </c>
      <c r="F11" s="260" t="str">
        <f t="shared" si="0"/>
        <v xml:space="preserve"> $G$8 </v>
      </c>
      <c r="G11" s="261" t="str">
        <f t="shared" si="1"/>
        <v>DevCoAssessmentInput(P&amp;M)</v>
      </c>
      <c r="H11" s="262" t="s">
        <v>703</v>
      </c>
      <c r="I11" s="82" t="s">
        <v>1714</v>
      </c>
    </row>
    <row r="12" spans="1:9" ht="42.6" customHeight="1" x14ac:dyDescent="0.7">
      <c r="A12" s="138">
        <f>IF($B12="","",SUBTOTAL(3,$B$6:$B12)*1)</f>
        <v>7</v>
      </c>
      <c r="B12" s="258" t="s">
        <v>0</v>
      </c>
      <c r="C12" s="258" t="s">
        <v>1708</v>
      </c>
      <c r="D12" s="258" t="s">
        <v>2</v>
      </c>
      <c r="E12" s="259">
        <v>45798.755856481483</v>
      </c>
      <c r="F12" s="260" t="str">
        <f t="shared" si="0"/>
        <v xml:space="preserve"> $E$10 </v>
      </c>
      <c r="G12" s="261" t="str">
        <f t="shared" si="1"/>
        <v>DevCoAssessmentInput(P&amp;M)</v>
      </c>
      <c r="H12" s="262" t="s">
        <v>707</v>
      </c>
      <c r="I12" s="82" t="s">
        <v>1715</v>
      </c>
    </row>
    <row r="13" spans="1:9" ht="56.55" customHeight="1" x14ac:dyDescent="0.7">
      <c r="A13" s="138">
        <f>IF($B13="","",SUBTOTAL(3,$B$6:$B13)*1)</f>
        <v>8</v>
      </c>
      <c r="B13" s="258" t="s">
        <v>0</v>
      </c>
      <c r="C13" s="258" t="s">
        <v>1708</v>
      </c>
      <c r="D13" s="258" t="s">
        <v>2</v>
      </c>
      <c r="E13" s="259">
        <v>45798.759583333333</v>
      </c>
      <c r="F13" s="260" t="str">
        <f t="shared" si="0"/>
        <v xml:space="preserve"> $E$7 </v>
      </c>
      <c r="G13" s="261" t="str">
        <f t="shared" si="1"/>
        <v>DevCoAssessmentInput(D&amp;T)</v>
      </c>
      <c r="H13" s="262" t="s">
        <v>911</v>
      </c>
      <c r="I13" s="82" t="s">
        <v>1716</v>
      </c>
    </row>
    <row r="14" spans="1:9" ht="28.95" customHeight="1" x14ac:dyDescent="0.7">
      <c r="A14" s="138">
        <f>IF($B14="","",SUBTOTAL(3,$B$6:$B14)*1)</f>
        <v>9</v>
      </c>
      <c r="B14" s="258" t="s">
        <v>0</v>
      </c>
      <c r="C14" s="258" t="s">
        <v>1708</v>
      </c>
      <c r="D14" s="258" t="s">
        <v>2</v>
      </c>
      <c r="E14" s="259">
        <v>45799.46429398148</v>
      </c>
      <c r="F14" s="260" t="str">
        <f t="shared" si="0"/>
        <v xml:space="preserve"> $E$9 </v>
      </c>
      <c r="G14" s="261" t="str">
        <f t="shared" si="1"/>
        <v>DevCoAssessmentInput(P&amp;M)</v>
      </c>
      <c r="H14" s="262" t="s">
        <v>705</v>
      </c>
      <c r="I14" s="82" t="s">
        <v>1717</v>
      </c>
    </row>
    <row r="15" spans="1:9" ht="42.6" customHeight="1" x14ac:dyDescent="0.7">
      <c r="A15" s="138">
        <f>IF($B15="","",SUBTOTAL(3,$B$6:$B15)*1)</f>
        <v>10</v>
      </c>
      <c r="B15" s="258" t="s">
        <v>0</v>
      </c>
      <c r="C15" s="258" t="s">
        <v>1708</v>
      </c>
      <c r="D15" s="258" t="s">
        <v>2</v>
      </c>
      <c r="E15" s="259">
        <v>45799.72625</v>
      </c>
      <c r="F15" s="260" t="str">
        <f t="shared" si="0"/>
        <v xml:space="preserve"> $L$6 </v>
      </c>
      <c r="G15" s="261" t="str">
        <f t="shared" si="1"/>
        <v>DevCoAssessmentAnalysis(D&amp;T)</v>
      </c>
      <c r="H15" s="262" t="s">
        <v>1718</v>
      </c>
      <c r="I15" s="82" t="s">
        <v>1719</v>
      </c>
    </row>
    <row r="16" spans="1:9" ht="42.6" customHeight="1" x14ac:dyDescent="0.7">
      <c r="A16" s="138">
        <f>IF($B16="","",SUBTOTAL(3,$B$6:$B16)*1)</f>
        <v>11</v>
      </c>
      <c r="B16" s="258" t="s">
        <v>0</v>
      </c>
      <c r="C16" s="258" t="s">
        <v>1708</v>
      </c>
      <c r="D16" s="258" t="s">
        <v>2</v>
      </c>
      <c r="E16" s="259">
        <v>45799.729131944441</v>
      </c>
      <c r="F16" s="260" t="str">
        <f t="shared" si="0"/>
        <v xml:space="preserve"> $N$6 </v>
      </c>
      <c r="G16" s="261" t="str">
        <f t="shared" si="1"/>
        <v>DevCoAssessmentAnalysis(D&amp;T)</v>
      </c>
      <c r="H16" s="262" t="s">
        <v>1718</v>
      </c>
      <c r="I16" s="82" t="s">
        <v>1720</v>
      </c>
    </row>
    <row r="17" spans="1:9" ht="42.6" customHeight="1" x14ac:dyDescent="0.7">
      <c r="A17" s="138">
        <f>IF($B17="","",SUBTOTAL(3,$B$6:$B17)*1)</f>
        <v>12</v>
      </c>
      <c r="B17" s="258" t="s">
        <v>0</v>
      </c>
      <c r="C17" s="258" t="s">
        <v>1708</v>
      </c>
      <c r="D17" s="258" t="s">
        <v>2</v>
      </c>
      <c r="E17" s="259">
        <v>45799.729467592595</v>
      </c>
      <c r="F17" s="260" t="str">
        <f t="shared" si="0"/>
        <v xml:space="preserve"> $P$6 </v>
      </c>
      <c r="G17" s="261" t="str">
        <f t="shared" si="1"/>
        <v>DevCoAssessmentAnalysis(D&amp;T)</v>
      </c>
      <c r="H17" s="262" t="s">
        <v>1718</v>
      </c>
      <c r="I17" s="82" t="s">
        <v>1721</v>
      </c>
    </row>
    <row r="18" spans="1:9" ht="21" customHeight="1" x14ac:dyDescent="0.7">
      <c r="A18" s="138">
        <f>IF($B18="","",SUBTOTAL(3,$B$6:$B18)*1)</f>
        <v>13</v>
      </c>
      <c r="B18" s="258" t="s">
        <v>0</v>
      </c>
      <c r="C18" s="258" t="s">
        <v>1708</v>
      </c>
      <c r="D18" s="258" t="s">
        <v>2</v>
      </c>
      <c r="E18" s="259">
        <v>45800.476875</v>
      </c>
      <c r="F18" s="260" t="str">
        <f t="shared" si="0"/>
        <v xml:space="preserve"> $C$6 </v>
      </c>
      <c r="G18" s="261" t="str">
        <f t="shared" si="1"/>
        <v>DevCoAssessmentInput(D&amp;C)</v>
      </c>
      <c r="H18" s="262" t="s">
        <v>1058</v>
      </c>
      <c r="I18" s="82" t="s">
        <v>1722</v>
      </c>
    </row>
    <row r="19" spans="1:9" ht="21" customHeight="1" x14ac:dyDescent="0.7">
      <c r="A19" s="138">
        <f>IF($B19="","",SUBTOTAL(3,$B$6:$B19)*1)</f>
        <v>14</v>
      </c>
      <c r="B19" s="258" t="s">
        <v>0</v>
      </c>
      <c r="C19" s="258" t="s">
        <v>1708</v>
      </c>
      <c r="D19" s="258" t="s">
        <v>2</v>
      </c>
      <c r="E19" s="259">
        <v>45800.476886574077</v>
      </c>
      <c r="F19" s="260" t="str">
        <f t="shared" si="0"/>
        <v xml:space="preserve"> $C$7 </v>
      </c>
      <c r="G19" s="261" t="str">
        <f t="shared" si="1"/>
        <v>DevCoAssessmentInput(D&amp;C)</v>
      </c>
      <c r="H19" s="262" t="s">
        <v>1060</v>
      </c>
      <c r="I19" s="82" t="s">
        <v>1723</v>
      </c>
    </row>
    <row r="20" spans="1:9" ht="21" customHeight="1" x14ac:dyDescent="0.7">
      <c r="A20" s="138">
        <f>IF($B20="","",SUBTOTAL(3,$B$6:$B20)*1)</f>
        <v>15</v>
      </c>
      <c r="B20" s="258" t="s">
        <v>0</v>
      </c>
      <c r="C20" s="258" t="s">
        <v>1708</v>
      </c>
      <c r="D20" s="258" t="s">
        <v>2</v>
      </c>
      <c r="E20" s="259">
        <v>45800.477743055555</v>
      </c>
      <c r="F20" s="260" t="str">
        <f t="shared" si="0"/>
        <v xml:space="preserve"> $C$16 </v>
      </c>
      <c r="G20" s="261" t="str">
        <f t="shared" si="1"/>
        <v>DevCoAssessmentInput(D&amp;C)</v>
      </c>
      <c r="H20" s="262" t="s">
        <v>1083</v>
      </c>
      <c r="I20" s="82" t="s">
        <v>1724</v>
      </c>
    </row>
    <row r="21" spans="1:9" ht="21" customHeight="1" x14ac:dyDescent="0.7">
      <c r="A21" s="138">
        <f>IF($B21="","",SUBTOTAL(3,$B$6:$B21)*1)</f>
        <v>16</v>
      </c>
      <c r="B21" s="258" t="s">
        <v>0</v>
      </c>
      <c r="C21" s="258" t="s">
        <v>1708</v>
      </c>
      <c r="D21" s="258" t="s">
        <v>2</v>
      </c>
      <c r="E21" s="259">
        <v>45800.477766203701</v>
      </c>
      <c r="F21" s="260" t="str">
        <f t="shared" si="0"/>
        <v xml:space="preserve"> $C$17 </v>
      </c>
      <c r="G21" s="261" t="str">
        <f t="shared" si="1"/>
        <v>DevCoAssessmentInput(D&amp;C)</v>
      </c>
      <c r="H21" s="262" t="s">
        <v>1085</v>
      </c>
      <c r="I21" s="82" t="s">
        <v>1725</v>
      </c>
    </row>
    <row r="22" spans="1:9" ht="21" customHeight="1" x14ac:dyDescent="0.7">
      <c r="A22" s="138">
        <f>IF($B22="","",SUBTOTAL(3,$B$6:$B22)*1)</f>
        <v>17</v>
      </c>
      <c r="B22" s="258" t="s">
        <v>0</v>
      </c>
      <c r="C22" s="258" t="s">
        <v>1708</v>
      </c>
      <c r="D22" s="258" t="s">
        <v>2</v>
      </c>
      <c r="E22" s="259">
        <v>45800.477847222224</v>
      </c>
      <c r="F22" s="260" t="str">
        <f t="shared" si="0"/>
        <v xml:space="preserve"> $C$17 </v>
      </c>
      <c r="G22" s="261" t="str">
        <f t="shared" si="1"/>
        <v>DevCoAssessmentInput(D&amp;C)</v>
      </c>
      <c r="H22" s="262" t="s">
        <v>1085</v>
      </c>
      <c r="I22" s="82" t="s">
        <v>1726</v>
      </c>
    </row>
    <row r="23" spans="1:9" ht="21" customHeight="1" x14ac:dyDescent="0.7">
      <c r="A23" s="138">
        <f>IF($B23="","",SUBTOTAL(3,$B$6:$B23)*1)</f>
        <v>18</v>
      </c>
      <c r="B23" s="258" t="s">
        <v>0</v>
      </c>
      <c r="C23" s="258" t="s">
        <v>1708</v>
      </c>
      <c r="D23" s="258" t="s">
        <v>2</v>
      </c>
      <c r="E23" s="259">
        <v>45800.477870370371</v>
      </c>
      <c r="F23" s="260" t="str">
        <f t="shared" si="0"/>
        <v xml:space="preserve"> $C$18 </v>
      </c>
      <c r="G23" s="261" t="str">
        <f t="shared" si="1"/>
        <v>DevCoAssessmentInput(D&amp;C)</v>
      </c>
      <c r="H23" s="262" t="s">
        <v>1087</v>
      </c>
      <c r="I23" s="82" t="s">
        <v>1727</v>
      </c>
    </row>
    <row r="24" spans="1:9" ht="21" customHeight="1" x14ac:dyDescent="0.7">
      <c r="A24" s="138">
        <f>IF($B24="","",SUBTOTAL(3,$B$6:$B24)*1)</f>
        <v>19</v>
      </c>
      <c r="B24" s="258" t="s">
        <v>0</v>
      </c>
      <c r="C24" s="258" t="s">
        <v>1708</v>
      </c>
      <c r="D24" s="258" t="s">
        <v>2</v>
      </c>
      <c r="E24" s="259">
        <v>45800.477881944447</v>
      </c>
      <c r="F24" s="260" t="str">
        <f t="shared" si="0"/>
        <v xml:space="preserve"> $C$19 </v>
      </c>
      <c r="G24" s="261" t="str">
        <f t="shared" si="1"/>
        <v>DevCoAssessmentInput(D&amp;C)</v>
      </c>
      <c r="H24" s="262" t="s">
        <v>1089</v>
      </c>
      <c r="I24" s="82" t="s">
        <v>1728</v>
      </c>
    </row>
    <row r="25" spans="1:9" ht="21" customHeight="1" x14ac:dyDescent="0.7">
      <c r="A25" s="138">
        <f>IF($B25="","",SUBTOTAL(3,$B$6:$B25)*1)</f>
        <v>20</v>
      </c>
      <c r="B25" s="258" t="s">
        <v>0</v>
      </c>
      <c r="C25" s="258" t="s">
        <v>1708</v>
      </c>
      <c r="D25" s="258" t="s">
        <v>2</v>
      </c>
      <c r="E25" s="259">
        <v>45800.478310185186</v>
      </c>
      <c r="F25" s="260" t="str">
        <f t="shared" si="0"/>
        <v xml:space="preserve"> $C$20 </v>
      </c>
      <c r="G25" s="261" t="str">
        <f t="shared" si="1"/>
        <v>DevCoAssessmentInput(D&amp;C)</v>
      </c>
      <c r="H25" s="262" t="s">
        <v>1091</v>
      </c>
      <c r="I25" s="82" t="s">
        <v>1729</v>
      </c>
    </row>
    <row r="26" spans="1:9" ht="21" customHeight="1" x14ac:dyDescent="0.7">
      <c r="A26" s="138">
        <f>IF($B26="","",SUBTOTAL(3,$B$6:$B26)*1)</f>
        <v>21</v>
      </c>
      <c r="B26" s="258" t="s">
        <v>0</v>
      </c>
      <c r="C26" s="258" t="s">
        <v>1708</v>
      </c>
      <c r="D26" s="258" t="s">
        <v>2</v>
      </c>
      <c r="E26" s="259">
        <v>45800.478321759256</v>
      </c>
      <c r="F26" s="260" t="str">
        <f t="shared" si="0"/>
        <v xml:space="preserve"> $C$21 </v>
      </c>
      <c r="G26" s="261" t="str">
        <f t="shared" si="1"/>
        <v>DevCoAssessmentInput(D&amp;C)</v>
      </c>
      <c r="H26" s="262" t="s">
        <v>1094</v>
      </c>
      <c r="I26" s="82" t="s">
        <v>1730</v>
      </c>
    </row>
    <row r="27" spans="1:9" ht="21" customHeight="1" x14ac:dyDescent="0.7">
      <c r="A27" s="138">
        <f>IF($B27="","",SUBTOTAL(3,$B$6:$B27)*1)</f>
        <v>22</v>
      </c>
      <c r="B27" s="258" t="s">
        <v>0</v>
      </c>
      <c r="C27" s="258" t="s">
        <v>1708</v>
      </c>
      <c r="D27" s="258" t="s">
        <v>2</v>
      </c>
      <c r="E27" s="259">
        <v>45800.478645833333</v>
      </c>
      <c r="F27" s="260" t="str">
        <f t="shared" si="0"/>
        <v xml:space="preserve"> $C$26 </v>
      </c>
      <c r="G27" s="261" t="str">
        <f t="shared" si="1"/>
        <v>DevCoAssessmentInput(D&amp;C)</v>
      </c>
      <c r="H27" s="262" t="s">
        <v>1104</v>
      </c>
      <c r="I27" s="82" t="s">
        <v>1731</v>
      </c>
    </row>
    <row r="28" spans="1:9" ht="21" customHeight="1" x14ac:dyDescent="0.7">
      <c r="A28" s="138">
        <f>IF($B28="","",SUBTOTAL(3,$B$6:$B28)*1)</f>
        <v>23</v>
      </c>
      <c r="B28" s="258" t="s">
        <v>0</v>
      </c>
      <c r="C28" s="258" t="s">
        <v>1708</v>
      </c>
      <c r="D28" s="258" t="s">
        <v>2</v>
      </c>
      <c r="E28" s="259">
        <v>45800.478668981479</v>
      </c>
      <c r="F28" s="260" t="str">
        <f t="shared" si="0"/>
        <v xml:space="preserve"> $C$27 </v>
      </c>
      <c r="G28" s="261" t="str">
        <f t="shared" si="1"/>
        <v>DevCoAssessmentInput(D&amp;C)</v>
      </c>
      <c r="H28" s="262" t="s">
        <v>1106</v>
      </c>
      <c r="I28" s="82" t="s">
        <v>1732</v>
      </c>
    </row>
    <row r="29" spans="1:9" ht="21" customHeight="1" x14ac:dyDescent="0.7">
      <c r="A29" s="138">
        <f>IF($B29="","",SUBTOTAL(3,$B$6:$B29)*1)</f>
        <v>24</v>
      </c>
      <c r="B29" s="258" t="s">
        <v>0</v>
      </c>
      <c r="C29" s="258" t="s">
        <v>1708</v>
      </c>
      <c r="D29" s="258" t="s">
        <v>2</v>
      </c>
      <c r="E29" s="259">
        <v>45800.479178240741</v>
      </c>
      <c r="F29" s="260" t="str">
        <f t="shared" si="0"/>
        <v xml:space="preserve"> $C$53 </v>
      </c>
      <c r="G29" s="261" t="str">
        <f t="shared" si="1"/>
        <v>DevCoAssessmentInput(D&amp;C)</v>
      </c>
      <c r="H29" s="262" t="s">
        <v>1164</v>
      </c>
      <c r="I29" s="82" t="s">
        <v>1733</v>
      </c>
    </row>
    <row r="30" spans="1:9" ht="21" customHeight="1" x14ac:dyDescent="0.7">
      <c r="A30" s="138">
        <f>IF($B30="","",SUBTOTAL(3,$B$6:$B30)*1)</f>
        <v>25</v>
      </c>
      <c r="B30" s="258" t="s">
        <v>0</v>
      </c>
      <c r="C30" s="258" t="s">
        <v>1708</v>
      </c>
      <c r="D30" s="258" t="s">
        <v>2</v>
      </c>
      <c r="E30" s="259">
        <v>45800.479618055557</v>
      </c>
      <c r="F30" s="260" t="str">
        <f t="shared" si="0"/>
        <v xml:space="preserve"> $C$70 </v>
      </c>
      <c r="G30" s="261" t="str">
        <f t="shared" si="1"/>
        <v>DevCoAssessmentInput(D&amp;C)</v>
      </c>
      <c r="H30" s="262" t="s">
        <v>1207</v>
      </c>
      <c r="I30" s="82" t="s">
        <v>1734</v>
      </c>
    </row>
    <row r="31" spans="1:9" ht="21" customHeight="1" x14ac:dyDescent="0.7">
      <c r="A31" s="138">
        <f>IF($B31="","",SUBTOTAL(3,$B$6:$B31)*1)</f>
        <v>26</v>
      </c>
      <c r="B31" s="258" t="s">
        <v>0</v>
      </c>
      <c r="C31" s="258" t="s">
        <v>1708</v>
      </c>
      <c r="D31" s="258" t="s">
        <v>2</v>
      </c>
      <c r="E31" s="259">
        <v>45800.479641203703</v>
      </c>
      <c r="F31" s="260" t="str">
        <f t="shared" si="0"/>
        <v xml:space="preserve"> $C$71 </v>
      </c>
      <c r="G31" s="261" t="str">
        <f t="shared" si="1"/>
        <v>DevCoAssessmentInput(D&amp;C)</v>
      </c>
      <c r="H31" s="262" t="s">
        <v>1209</v>
      </c>
      <c r="I31" s="82" t="s">
        <v>1735</v>
      </c>
    </row>
    <row r="32" spans="1:9" ht="21" customHeight="1" x14ac:dyDescent="0.7">
      <c r="A32" s="138">
        <f>IF($B32="","",SUBTOTAL(3,$B$6:$B32)*1)</f>
        <v>27</v>
      </c>
      <c r="B32" s="258" t="s">
        <v>0</v>
      </c>
      <c r="C32" s="258" t="s">
        <v>1708</v>
      </c>
      <c r="D32" s="258" t="s">
        <v>2</v>
      </c>
      <c r="E32" s="259">
        <v>45800.479664351849</v>
      </c>
      <c r="F32" s="260" t="str">
        <f t="shared" si="0"/>
        <v xml:space="preserve"> $C$70 </v>
      </c>
      <c r="G32" s="261" t="str">
        <f t="shared" si="1"/>
        <v>DevCoAssessmentInput(D&amp;C)</v>
      </c>
      <c r="H32" s="262" t="s">
        <v>1207</v>
      </c>
      <c r="I32" s="82" t="s">
        <v>1736</v>
      </c>
    </row>
    <row r="33" spans="1:9" ht="21" customHeight="1" x14ac:dyDescent="0.7">
      <c r="A33" s="138">
        <f>IF($B33="","",SUBTOTAL(3,$B$6:$B33)*1)</f>
        <v>28</v>
      </c>
      <c r="B33" s="258" t="s">
        <v>0</v>
      </c>
      <c r="C33" s="258" t="s">
        <v>1708</v>
      </c>
      <c r="D33" s="258" t="s">
        <v>2</v>
      </c>
      <c r="E33" s="259">
        <v>45800.479687500003</v>
      </c>
      <c r="F33" s="260" t="str">
        <f t="shared" si="0"/>
        <v xml:space="preserve"> $C$70 </v>
      </c>
      <c r="G33" s="261" t="str">
        <f t="shared" si="1"/>
        <v>DevCoAssessmentInput(D&amp;C)</v>
      </c>
      <c r="H33" s="262" t="s">
        <v>1207</v>
      </c>
      <c r="I33" s="82" t="s">
        <v>1737</v>
      </c>
    </row>
    <row r="34" spans="1:9" ht="21" customHeight="1" x14ac:dyDescent="0.7">
      <c r="A34" s="138">
        <f>IF($B34="","",SUBTOTAL(3,$B$6:$B34)*1)</f>
        <v>29</v>
      </c>
      <c r="B34" s="258" t="s">
        <v>0</v>
      </c>
      <c r="C34" s="258" t="s">
        <v>1708</v>
      </c>
      <c r="D34" s="258" t="s">
        <v>2</v>
      </c>
      <c r="E34" s="259">
        <v>45800.479756944442</v>
      </c>
      <c r="F34" s="260" t="str">
        <f t="shared" si="0"/>
        <v xml:space="preserve"> $C$72 </v>
      </c>
      <c r="G34" s="261" t="str">
        <f t="shared" si="1"/>
        <v>DevCoAssessmentInput(D&amp;C)</v>
      </c>
      <c r="H34" s="262" t="s">
        <v>1211</v>
      </c>
      <c r="I34" s="82" t="s">
        <v>1738</v>
      </c>
    </row>
    <row r="35" spans="1:9" ht="21" customHeight="1" x14ac:dyDescent="0.7">
      <c r="A35" s="138">
        <f>IF($B35="","",SUBTOTAL(3,$B$6:$B35)*1)</f>
        <v>30</v>
      </c>
      <c r="B35" s="258" t="s">
        <v>0</v>
      </c>
      <c r="C35" s="258" t="s">
        <v>1708</v>
      </c>
      <c r="D35" s="258" t="s">
        <v>2</v>
      </c>
      <c r="E35" s="259">
        <v>45800.508935185186</v>
      </c>
      <c r="F35" s="260" t="str">
        <f t="shared" si="0"/>
        <v xml:space="preserve"> $C$40 </v>
      </c>
      <c r="G35" s="261" t="str">
        <f t="shared" si="1"/>
        <v>DevCoAssessmentInput(D&amp;C)</v>
      </c>
      <c r="H35" s="262" t="s">
        <v>1136</v>
      </c>
      <c r="I35" s="82" t="s">
        <v>1739</v>
      </c>
    </row>
    <row r="36" spans="1:9" ht="21" customHeight="1" x14ac:dyDescent="0.7">
      <c r="A36" s="138">
        <f>IF($B36="","",SUBTOTAL(3,$B$6:$B36)*1)</f>
        <v>31</v>
      </c>
      <c r="B36" s="258" t="s">
        <v>0</v>
      </c>
      <c r="C36" s="258" t="s">
        <v>1708</v>
      </c>
      <c r="D36" s="258" t="s">
        <v>2</v>
      </c>
      <c r="E36" s="259">
        <v>45800.508946759262</v>
      </c>
      <c r="F36" s="260" t="str">
        <f t="shared" si="0"/>
        <v xml:space="preserve"> $C$41 </v>
      </c>
      <c r="G36" s="261" t="str">
        <f t="shared" si="1"/>
        <v>DevCoAssessmentInput(D&amp;C)</v>
      </c>
      <c r="H36" s="262" t="s">
        <v>1138</v>
      </c>
      <c r="I36" s="82" t="s">
        <v>1740</v>
      </c>
    </row>
    <row r="37" spans="1:9" ht="21" customHeight="1" x14ac:dyDescent="0.7">
      <c r="A37" s="138">
        <f>IF($B37="","",SUBTOTAL(3,$B$6:$B37)*1)</f>
        <v>32</v>
      </c>
      <c r="B37" s="258" t="s">
        <v>0</v>
      </c>
      <c r="C37" s="258" t="s">
        <v>1708</v>
      </c>
      <c r="D37" s="258" t="s">
        <v>2</v>
      </c>
      <c r="E37" s="259">
        <v>45800.508969907409</v>
      </c>
      <c r="F37" s="260" t="str">
        <f t="shared" si="0"/>
        <v xml:space="preserve"> $C$40 </v>
      </c>
      <c r="G37" s="261" t="str">
        <f t="shared" si="1"/>
        <v>DevCoAssessmentInput(D&amp;C)</v>
      </c>
      <c r="H37" s="262" t="s">
        <v>1136</v>
      </c>
      <c r="I37" s="82" t="s">
        <v>1741</v>
      </c>
    </row>
    <row r="38" spans="1:9" ht="21" customHeight="1" x14ac:dyDescent="0.7">
      <c r="A38" s="138">
        <f>IF($B38="","",SUBTOTAL(3,$B$6:$B38)*1)</f>
        <v>33</v>
      </c>
      <c r="B38" s="258" t="s">
        <v>0</v>
      </c>
      <c r="C38" s="258" t="s">
        <v>1708</v>
      </c>
      <c r="D38" s="258" t="s">
        <v>2</v>
      </c>
      <c r="E38" s="259">
        <v>45800.508993055555</v>
      </c>
      <c r="F38" s="260" t="str">
        <f t="shared" si="0"/>
        <v xml:space="preserve"> $C$41 </v>
      </c>
      <c r="G38" s="261" t="str">
        <f t="shared" si="1"/>
        <v>DevCoAssessmentInput(D&amp;C)</v>
      </c>
      <c r="H38" s="262" t="s">
        <v>1138</v>
      </c>
      <c r="I38" s="82" t="s">
        <v>1742</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53" r:id="rId4" name="txtSearchBox">
          <controlPr defaultSize="0" print="0" autoLine="0" r:id="rId5">
            <anchor>
              <from>
                <xdr:col>5</xdr:col>
                <xdr:colOff>358140</xdr:colOff>
                <xdr:row>1</xdr:row>
                <xdr:rowOff>152400</xdr:rowOff>
              </from>
              <to>
                <xdr:col>7</xdr:col>
                <xdr:colOff>1036320</xdr:colOff>
                <xdr:row>2</xdr:row>
                <xdr:rowOff>121920</xdr:rowOff>
              </to>
            </anchor>
          </controlPr>
        </control>
      </mc:Choice>
      <mc:Fallback>
        <control shapeId="23553" r:id="rId4" name="txtSearchBox"/>
      </mc:Fallback>
    </mc:AlternateContent>
    <mc:AlternateContent xmlns:mc="http://schemas.openxmlformats.org/markup-compatibility/2006">
      <mc:Choice Requires="x14">
        <control shapeId="23554" r:id="rId6" name="OptionButton1">
          <controlPr defaultSize="0" print="0" autoLine="0" r:id="rId7">
            <anchor>
              <from>
                <xdr:col>5</xdr:col>
                <xdr:colOff>426720</xdr:colOff>
                <xdr:row>0</xdr:row>
                <xdr:rowOff>175260</xdr:rowOff>
              </from>
              <to>
                <xdr:col>6</xdr:col>
                <xdr:colOff>381000</xdr:colOff>
                <xdr:row>1</xdr:row>
                <xdr:rowOff>152400</xdr:rowOff>
              </to>
            </anchor>
          </controlPr>
        </control>
      </mc:Choice>
      <mc:Fallback>
        <control shapeId="23554" r:id="rId6" name="OptionButton1"/>
      </mc:Fallback>
    </mc:AlternateContent>
    <mc:AlternateContent xmlns:mc="http://schemas.openxmlformats.org/markup-compatibility/2006">
      <mc:Choice Requires="x14">
        <control shapeId="23555" r:id="rId8" name="OptionButton2">
          <controlPr defaultSize="0" print="0" autoLine="0" r:id="rId9">
            <anchor>
              <from>
                <xdr:col>6</xdr:col>
                <xdr:colOff>807720</xdr:colOff>
                <xdr:row>0</xdr:row>
                <xdr:rowOff>175260</xdr:rowOff>
              </from>
              <to>
                <xdr:col>6</xdr:col>
                <xdr:colOff>1706880</xdr:colOff>
                <xdr:row>1</xdr:row>
                <xdr:rowOff>152400</xdr:rowOff>
              </to>
            </anchor>
          </controlPr>
        </control>
      </mc:Choice>
      <mc:Fallback>
        <control shapeId="23555" r:id="rId8" name="OptionButton2"/>
      </mc:Fallback>
    </mc:AlternateContent>
    <mc:AlternateContent xmlns:mc="http://schemas.openxmlformats.org/markup-compatibility/2006">
      <mc:Choice Requires="x14">
        <control shapeId="23556" r:id="rId10" name="OptionButton3">
          <controlPr defaultSize="0" print="0" autoLine="0" r:id="rId11">
            <anchor>
              <from>
                <xdr:col>7</xdr:col>
                <xdr:colOff>91440</xdr:colOff>
                <xdr:row>0</xdr:row>
                <xdr:rowOff>175260</xdr:rowOff>
              </from>
              <to>
                <xdr:col>7</xdr:col>
                <xdr:colOff>754380</xdr:colOff>
                <xdr:row>1</xdr:row>
                <xdr:rowOff>152400</xdr:rowOff>
              </to>
            </anchor>
          </controlPr>
        </control>
      </mc:Choice>
      <mc:Fallback>
        <control shapeId="23556" r:id="rId10" name="OptionButton3"/>
      </mc:Fallback>
    </mc:AlternateContent>
    <mc:AlternateContent xmlns:mc="http://schemas.openxmlformats.org/markup-compatibility/2006">
      <mc:Choice Requires="x14">
        <control shapeId="23557" r:id="rId12" name="OptionButton4">
          <controlPr defaultSize="0" print="0" autoLine="0" r:id="rId13">
            <anchor>
              <from>
                <xdr:col>7</xdr:col>
                <xdr:colOff>990600</xdr:colOff>
                <xdr:row>0</xdr:row>
                <xdr:rowOff>175260</xdr:rowOff>
              </from>
              <to>
                <xdr:col>7</xdr:col>
                <xdr:colOff>1752600</xdr:colOff>
                <xdr:row>1</xdr:row>
                <xdr:rowOff>152400</xdr:rowOff>
              </to>
            </anchor>
          </controlPr>
        </control>
      </mc:Choice>
      <mc:Fallback>
        <control shapeId="23557" r:id="rId12" name="OptionButton4"/>
      </mc:Fallback>
    </mc:AlternateContent>
    <mc:AlternateContent xmlns:mc="http://schemas.openxmlformats.org/markup-compatibility/2006">
      <mc:Choice Requires="x14">
        <control shapeId="23561" r:id="rId14" name="Label1">
          <controlPr defaultSize="0" print="0" autoLine="0" r:id="rId15">
            <anchor moveWithCells="1">
              <from>
                <xdr:col>12</xdr:col>
                <xdr:colOff>0</xdr:colOff>
                <xdr:row>1</xdr:row>
                <xdr:rowOff>60960</xdr:rowOff>
              </from>
              <to>
                <xdr:col>13</xdr:col>
                <xdr:colOff>731520</xdr:colOff>
                <xdr:row>2</xdr:row>
                <xdr:rowOff>0</xdr:rowOff>
              </to>
            </anchor>
          </controlPr>
        </control>
      </mc:Choice>
      <mc:Fallback>
        <control shapeId="23561" r:id="rId14" name="Label1"/>
      </mc:Fallback>
    </mc:AlternateContent>
    <mc:AlternateContent xmlns:mc="http://schemas.openxmlformats.org/markup-compatibility/2006">
      <mc:Choice Requires="x14">
        <control shapeId="23560" r:id="rId16" name="ComboBox1">
          <controlPr defaultSize="0" print="0" autoLine="0" autoPict="0" r:id="rId17">
            <anchor>
              <from>
                <xdr:col>7</xdr:col>
                <xdr:colOff>2537460</xdr:colOff>
                <xdr:row>1</xdr:row>
                <xdr:rowOff>129540</xdr:rowOff>
              </from>
              <to>
                <xdr:col>8</xdr:col>
                <xdr:colOff>617220</xdr:colOff>
                <xdr:row>2</xdr:row>
                <xdr:rowOff>114300</xdr:rowOff>
              </to>
            </anchor>
          </controlPr>
        </control>
      </mc:Choice>
      <mc:Fallback>
        <control shapeId="23560" r:id="rId16" name="ComboBox1"/>
      </mc:Fallback>
    </mc:AlternateContent>
    <mc:AlternateContent xmlns:mc="http://schemas.openxmlformats.org/markup-compatibility/2006">
      <mc:Choice Requires="x14">
        <control shapeId="23562" r:id="rId18" name="ComboBox2">
          <controlPr defaultSize="0" print="0" autoLine="0" autoPict="0" r:id="rId19">
            <anchor>
              <from>
                <xdr:col>8</xdr:col>
                <xdr:colOff>617220</xdr:colOff>
                <xdr:row>1</xdr:row>
                <xdr:rowOff>129540</xdr:rowOff>
              </from>
              <to>
                <xdr:col>8</xdr:col>
                <xdr:colOff>1546860</xdr:colOff>
                <xdr:row>2</xdr:row>
                <xdr:rowOff>114300</xdr:rowOff>
              </to>
            </anchor>
          </controlPr>
        </control>
      </mc:Choice>
      <mc:Fallback>
        <control shapeId="23562" r:id="rId18" name="ComboBox2"/>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7"/>
  <cols>
    <col min="1" max="1" width="3.69140625" style="6" customWidth="1"/>
    <col min="2" max="2" width="15.61328125" style="263" bestFit="1" customWidth="1"/>
    <col min="3" max="3" width="14.4609375" style="263" bestFit="1" customWidth="1"/>
    <col min="4" max="4" width="15.84375" style="263" bestFit="1" customWidth="1"/>
    <col min="5" max="5" width="16.61328125" style="263" bestFit="1" customWidth="1"/>
    <col min="6" max="36" width="8.3828125" style="265" bestFit="1" customWidth="1"/>
    <col min="37" max="37" width="8.4609375" style="265" bestFit="1" customWidth="1"/>
    <col min="38" max="38" width="8.61328125" style="265" customWidth="1"/>
    <col min="39" max="81" width="9" style="265"/>
    <col min="82" max="16384" width="9" style="5"/>
  </cols>
  <sheetData>
    <row r="1" spans="1:37" s="12" customFormat="1" ht="21" customHeight="1" x14ac:dyDescent="0.7">
      <c r="B1" s="20"/>
      <c r="C1" s="20"/>
      <c r="D1" s="20"/>
      <c r="E1" s="20"/>
    </row>
    <row r="2" spans="1:37" s="12" customFormat="1" ht="21" customHeight="1" x14ac:dyDescent="0.7">
      <c r="A2" s="7" t="s">
        <v>4</v>
      </c>
      <c r="B2" s="20"/>
      <c r="C2" s="158"/>
      <c r="D2" s="158"/>
      <c r="E2" s="158"/>
      <c r="F2" s="43"/>
    </row>
    <row r="3" spans="1:37" s="12" customFormat="1" ht="21" customHeight="1" x14ac:dyDescent="0.7">
      <c r="A3" s="93" t="str" cm="1">
        <f t="array" aca="1" ref="A3" ca="1">MID(CELL("filename",A1),FIND("]",CELL("filename",A1))+1,256)</f>
        <v>User</v>
      </c>
      <c r="B3" s="20"/>
      <c r="C3" s="158"/>
      <c r="D3" s="158"/>
      <c r="E3" s="158"/>
      <c r="F3" s="43"/>
    </row>
    <row r="4" spans="1:37" s="12" customFormat="1" ht="4.95" customHeight="1" x14ac:dyDescent="0.7">
      <c r="B4" s="20"/>
      <c r="C4" s="20"/>
      <c r="D4" s="20"/>
      <c r="E4" s="20"/>
    </row>
    <row r="5" spans="1:37" s="50" customFormat="1" ht="175.2" customHeight="1" x14ac:dyDescent="0.7">
      <c r="A5" s="14" t="s">
        <v>1743</v>
      </c>
      <c r="B5" s="14" t="s">
        <v>1744</v>
      </c>
      <c r="C5" s="14" t="s">
        <v>1745</v>
      </c>
      <c r="D5" s="14" t="s">
        <v>1703</v>
      </c>
      <c r="E5" s="15" t="s">
        <v>1746</v>
      </c>
      <c r="F5" s="44" t="s">
        <v>1747</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1748</v>
      </c>
    </row>
    <row r="6" spans="1:37" ht="21" customHeight="1" x14ac:dyDescent="0.7">
      <c r="A6" s="16">
        <f t="shared" ref="A6:A18" si="0">ROW()-5</f>
        <v>1</v>
      </c>
      <c r="B6" s="159" t="s">
        <v>2</v>
      </c>
      <c r="C6" s="159" t="s">
        <v>1749</v>
      </c>
      <c r="D6" s="159" t="s">
        <v>1708</v>
      </c>
      <c r="E6" s="159" t="s">
        <v>0</v>
      </c>
      <c r="F6" s="17" t="s">
        <v>1750</v>
      </c>
      <c r="G6" s="17" t="s">
        <v>1750</v>
      </c>
      <c r="H6" s="17" t="s">
        <v>1750</v>
      </c>
      <c r="I6" s="17" t="s">
        <v>1750</v>
      </c>
      <c r="J6" s="17" t="s">
        <v>1750</v>
      </c>
      <c r="K6" s="17" t="s">
        <v>1750</v>
      </c>
      <c r="L6" s="17" t="s">
        <v>1750</v>
      </c>
      <c r="M6" s="17" t="s">
        <v>1750</v>
      </c>
      <c r="N6" s="17" t="s">
        <v>1750</v>
      </c>
      <c r="O6" s="17" t="s">
        <v>1750</v>
      </c>
      <c r="P6" s="17" t="s">
        <v>1750</v>
      </c>
      <c r="Q6" s="17" t="s">
        <v>1750</v>
      </c>
      <c r="R6" s="17" t="s">
        <v>1750</v>
      </c>
      <c r="S6" s="17" t="s">
        <v>1750</v>
      </c>
      <c r="T6" s="17" t="s">
        <v>1750</v>
      </c>
      <c r="U6" s="17" t="s">
        <v>1750</v>
      </c>
      <c r="V6" s="17" t="s">
        <v>1750</v>
      </c>
      <c r="W6" s="17" t="s">
        <v>1750</v>
      </c>
      <c r="X6" s="17" t="s">
        <v>1750</v>
      </c>
      <c r="Y6" s="17" t="s">
        <v>1750</v>
      </c>
      <c r="Z6" s="17" t="s">
        <v>1750</v>
      </c>
      <c r="AA6" s="17" t="s">
        <v>1750</v>
      </c>
      <c r="AB6" s="17" t="s">
        <v>1750</v>
      </c>
      <c r="AC6" s="17" t="s">
        <v>1750</v>
      </c>
      <c r="AD6" s="17" t="s">
        <v>1750</v>
      </c>
      <c r="AE6" s="17" t="s">
        <v>1750</v>
      </c>
      <c r="AF6" s="17" t="s">
        <v>1750</v>
      </c>
      <c r="AG6" s="17" t="s">
        <v>1750</v>
      </c>
      <c r="AH6" s="17" t="s">
        <v>1750</v>
      </c>
      <c r="AI6" s="17" t="s">
        <v>1750</v>
      </c>
      <c r="AJ6" s="17" t="s">
        <v>1750</v>
      </c>
      <c r="AK6" s="17" t="s">
        <v>1750</v>
      </c>
    </row>
    <row r="7" spans="1:37" ht="21" customHeight="1" x14ac:dyDescent="0.7">
      <c r="A7" s="16">
        <f>ROW()-5</f>
        <v>2</v>
      </c>
      <c r="B7" s="159" t="s">
        <v>1751</v>
      </c>
      <c r="C7" s="159" t="s">
        <v>1752</v>
      </c>
      <c r="D7" s="159" t="s">
        <v>1753</v>
      </c>
      <c r="E7" s="159" t="s">
        <v>0</v>
      </c>
      <c r="F7" s="17" t="s">
        <v>1750</v>
      </c>
      <c r="G7" s="17" t="s">
        <v>1750</v>
      </c>
      <c r="H7" s="17" t="s">
        <v>1750</v>
      </c>
      <c r="I7" s="17" t="s">
        <v>1750</v>
      </c>
      <c r="J7" s="17" t="s">
        <v>1750</v>
      </c>
      <c r="K7" s="17" t="s">
        <v>1750</v>
      </c>
      <c r="L7" s="17" t="s">
        <v>1750</v>
      </c>
      <c r="M7" s="17" t="s">
        <v>1750</v>
      </c>
      <c r="N7" s="17" t="s">
        <v>1750</v>
      </c>
      <c r="O7" s="17" t="s">
        <v>1754</v>
      </c>
      <c r="P7" s="17" t="s">
        <v>1754</v>
      </c>
      <c r="Q7" s="17" t="s">
        <v>1754</v>
      </c>
      <c r="R7" s="17" t="s">
        <v>1754</v>
      </c>
      <c r="S7" s="17" t="s">
        <v>1754</v>
      </c>
      <c r="T7" s="17" t="s">
        <v>1754</v>
      </c>
      <c r="U7" s="17" t="s">
        <v>1754</v>
      </c>
      <c r="V7" s="17" t="s">
        <v>1754</v>
      </c>
      <c r="W7" s="17" t="s">
        <v>1754</v>
      </c>
      <c r="X7" s="17" t="s">
        <v>1754</v>
      </c>
      <c r="Y7" s="17" t="s">
        <v>1754</v>
      </c>
      <c r="Z7" s="17" t="s">
        <v>1754</v>
      </c>
      <c r="AA7" s="17" t="s">
        <v>1754</v>
      </c>
      <c r="AB7" s="17" t="s">
        <v>1754</v>
      </c>
      <c r="AC7" s="17" t="s">
        <v>1754</v>
      </c>
      <c r="AD7" s="17" t="s">
        <v>1754</v>
      </c>
      <c r="AE7" s="17" t="s">
        <v>1754</v>
      </c>
      <c r="AF7" s="17" t="s">
        <v>1754</v>
      </c>
      <c r="AG7" s="17" t="s">
        <v>1754</v>
      </c>
      <c r="AH7" s="17" t="s">
        <v>1754</v>
      </c>
      <c r="AI7" s="17" t="s">
        <v>1754</v>
      </c>
      <c r="AJ7" s="17" t="s">
        <v>1754</v>
      </c>
      <c r="AK7" s="17" t="s">
        <v>1750</v>
      </c>
    </row>
    <row r="8" spans="1:37" ht="21" customHeight="1" x14ac:dyDescent="0.7">
      <c r="A8" s="16">
        <f t="shared" si="0"/>
        <v>3</v>
      </c>
      <c r="B8" s="159" t="s">
        <v>1755</v>
      </c>
      <c r="C8" s="159" t="s">
        <v>1756</v>
      </c>
      <c r="D8" s="159" t="s">
        <v>1757</v>
      </c>
      <c r="E8" s="159" t="s">
        <v>0</v>
      </c>
      <c r="F8" s="17" t="s">
        <v>1750</v>
      </c>
      <c r="G8" s="17" t="s">
        <v>1750</v>
      </c>
      <c r="H8" s="17" t="s">
        <v>1750</v>
      </c>
      <c r="I8" s="17" t="s">
        <v>1750</v>
      </c>
      <c r="J8" s="17" t="s">
        <v>1750</v>
      </c>
      <c r="K8" s="17" t="s">
        <v>1754</v>
      </c>
      <c r="L8" s="17" t="s">
        <v>1754</v>
      </c>
      <c r="M8" s="17" t="s">
        <v>1754</v>
      </c>
      <c r="N8" s="17" t="s">
        <v>1754</v>
      </c>
      <c r="O8" s="17" t="s">
        <v>1750</v>
      </c>
      <c r="P8" s="17" t="s">
        <v>1750</v>
      </c>
      <c r="Q8" s="17" t="s">
        <v>1750</v>
      </c>
      <c r="R8" s="17" t="s">
        <v>1750</v>
      </c>
      <c r="S8" s="17" t="s">
        <v>1754</v>
      </c>
      <c r="T8" s="17" t="s">
        <v>1754</v>
      </c>
      <c r="U8" s="17" t="s">
        <v>1754</v>
      </c>
      <c r="V8" s="17" t="s">
        <v>1754</v>
      </c>
      <c r="W8" s="17" t="s">
        <v>1754</v>
      </c>
      <c r="X8" s="17" t="s">
        <v>1754</v>
      </c>
      <c r="Y8" s="17" t="s">
        <v>1754</v>
      </c>
      <c r="Z8" s="17" t="s">
        <v>1754</v>
      </c>
      <c r="AA8" s="17" t="s">
        <v>1754</v>
      </c>
      <c r="AB8" s="17" t="s">
        <v>1754</v>
      </c>
      <c r="AC8" s="17" t="s">
        <v>1754</v>
      </c>
      <c r="AD8" s="17" t="s">
        <v>1754</v>
      </c>
      <c r="AE8" s="17" t="s">
        <v>1754</v>
      </c>
      <c r="AF8" s="17" t="s">
        <v>1754</v>
      </c>
      <c r="AG8" s="17" t="s">
        <v>1754</v>
      </c>
      <c r="AH8" s="17" t="s">
        <v>1754</v>
      </c>
      <c r="AI8" s="17" t="s">
        <v>1754</v>
      </c>
      <c r="AJ8" s="17" t="s">
        <v>1754</v>
      </c>
      <c r="AK8" s="17" t="s">
        <v>1750</v>
      </c>
    </row>
    <row r="9" spans="1:37" ht="21" customHeight="1" x14ac:dyDescent="0.7">
      <c r="A9" s="16">
        <f t="shared" si="0"/>
        <v>4</v>
      </c>
      <c r="B9" s="159" t="s">
        <v>1758</v>
      </c>
      <c r="C9" s="159" t="s">
        <v>1759</v>
      </c>
      <c r="D9" s="159" t="s">
        <v>1760</v>
      </c>
      <c r="E9" s="159" t="s">
        <v>0</v>
      </c>
      <c r="F9" s="17" t="s">
        <v>1750</v>
      </c>
      <c r="G9" s="17" t="s">
        <v>1750</v>
      </c>
      <c r="H9" s="17" t="s">
        <v>1750</v>
      </c>
      <c r="I9" s="17" t="s">
        <v>1750</v>
      </c>
      <c r="J9" s="17" t="s">
        <v>1750</v>
      </c>
      <c r="K9" s="17" t="s">
        <v>1754</v>
      </c>
      <c r="L9" s="17" t="s">
        <v>1754</v>
      </c>
      <c r="M9" s="17" t="s">
        <v>1754</v>
      </c>
      <c r="N9" s="17" t="s">
        <v>1754</v>
      </c>
      <c r="O9" s="17" t="s">
        <v>1754</v>
      </c>
      <c r="P9" s="17" t="s">
        <v>1754</v>
      </c>
      <c r="Q9" s="17" t="s">
        <v>1754</v>
      </c>
      <c r="R9" s="17" t="s">
        <v>1754</v>
      </c>
      <c r="S9" s="17" t="s">
        <v>1750</v>
      </c>
      <c r="T9" s="17" t="s">
        <v>1750</v>
      </c>
      <c r="U9" s="17" t="s">
        <v>1750</v>
      </c>
      <c r="V9" s="17" t="s">
        <v>1750</v>
      </c>
      <c r="W9" s="17" t="s">
        <v>1754</v>
      </c>
      <c r="X9" s="17" t="s">
        <v>1754</v>
      </c>
      <c r="Y9" s="17" t="s">
        <v>1754</v>
      </c>
      <c r="Z9" s="17" t="s">
        <v>1754</v>
      </c>
      <c r="AA9" s="17" t="s">
        <v>1754</v>
      </c>
      <c r="AB9" s="17" t="s">
        <v>1754</v>
      </c>
      <c r="AC9" s="17" t="s">
        <v>1754</v>
      </c>
      <c r="AD9" s="17" t="s">
        <v>1754</v>
      </c>
      <c r="AE9" s="17" t="s">
        <v>1754</v>
      </c>
      <c r="AF9" s="17" t="s">
        <v>1754</v>
      </c>
      <c r="AG9" s="17" t="s">
        <v>1754</v>
      </c>
      <c r="AH9" s="17" t="s">
        <v>1754</v>
      </c>
      <c r="AI9" s="17" t="s">
        <v>1754</v>
      </c>
      <c r="AJ9" s="17" t="s">
        <v>1754</v>
      </c>
      <c r="AK9" s="17" t="s">
        <v>1750</v>
      </c>
    </row>
    <row r="10" spans="1:37" ht="21" customHeight="1" x14ac:dyDescent="0.7">
      <c r="A10" s="16">
        <f t="shared" si="0"/>
        <v>5</v>
      </c>
      <c r="B10" s="159" t="s">
        <v>1761</v>
      </c>
      <c r="C10" s="159" t="s">
        <v>1762</v>
      </c>
      <c r="D10" s="159" t="s">
        <v>1763</v>
      </c>
      <c r="E10" s="159" t="s">
        <v>0</v>
      </c>
      <c r="F10" s="17" t="s">
        <v>1750</v>
      </c>
      <c r="G10" s="17" t="s">
        <v>1750</v>
      </c>
      <c r="H10" s="17" t="s">
        <v>1750</v>
      </c>
      <c r="I10" s="17" t="s">
        <v>1750</v>
      </c>
      <c r="J10" s="17" t="s">
        <v>1750</v>
      </c>
      <c r="K10" s="17" t="s">
        <v>1754</v>
      </c>
      <c r="L10" s="17" t="s">
        <v>1754</v>
      </c>
      <c r="M10" s="17" t="s">
        <v>1754</v>
      </c>
      <c r="N10" s="17" t="s">
        <v>1754</v>
      </c>
      <c r="O10" s="17" t="s">
        <v>1754</v>
      </c>
      <c r="P10" s="17" t="s">
        <v>1754</v>
      </c>
      <c r="Q10" s="17" t="s">
        <v>1754</v>
      </c>
      <c r="R10" s="17" t="s">
        <v>1754</v>
      </c>
      <c r="S10" s="17" t="s">
        <v>1754</v>
      </c>
      <c r="T10" s="17" t="s">
        <v>1754</v>
      </c>
      <c r="U10" s="17" t="s">
        <v>1754</v>
      </c>
      <c r="V10" s="17" t="s">
        <v>1754</v>
      </c>
      <c r="W10" s="17" t="s">
        <v>1750</v>
      </c>
      <c r="X10" s="17" t="s">
        <v>1750</v>
      </c>
      <c r="Y10" s="17" t="s">
        <v>1750</v>
      </c>
      <c r="Z10" s="17" t="s">
        <v>1750</v>
      </c>
      <c r="AA10" s="17" t="s">
        <v>1754</v>
      </c>
      <c r="AB10" s="17" t="s">
        <v>1754</v>
      </c>
      <c r="AC10" s="17" t="s">
        <v>1754</v>
      </c>
      <c r="AD10" s="17" t="s">
        <v>1754</v>
      </c>
      <c r="AE10" s="17" t="s">
        <v>1754</v>
      </c>
      <c r="AF10" s="17" t="s">
        <v>1754</v>
      </c>
      <c r="AG10" s="17" t="s">
        <v>1754</v>
      </c>
      <c r="AH10" s="17" t="s">
        <v>1754</v>
      </c>
      <c r="AI10" s="17" t="s">
        <v>1754</v>
      </c>
      <c r="AJ10" s="17" t="s">
        <v>1754</v>
      </c>
      <c r="AK10" s="17" t="s">
        <v>1750</v>
      </c>
    </row>
    <row r="11" spans="1:37" ht="21" customHeight="1" x14ac:dyDescent="0.7">
      <c r="A11" s="16">
        <f t="shared" si="0"/>
        <v>6</v>
      </c>
      <c r="B11" s="159" t="s">
        <v>1764</v>
      </c>
      <c r="C11" s="159" t="s">
        <v>1765</v>
      </c>
      <c r="D11" s="159" t="s">
        <v>1766</v>
      </c>
      <c r="E11" s="159" t="s">
        <v>0</v>
      </c>
      <c r="F11" s="17" t="s">
        <v>1750</v>
      </c>
      <c r="G11" s="17" t="s">
        <v>1750</v>
      </c>
      <c r="H11" s="17" t="s">
        <v>1750</v>
      </c>
      <c r="I11" s="17" t="s">
        <v>1750</v>
      </c>
      <c r="J11" s="17" t="s">
        <v>1750</v>
      </c>
      <c r="K11" s="17" t="s">
        <v>1754</v>
      </c>
      <c r="L11" s="17" t="s">
        <v>1754</v>
      </c>
      <c r="M11" s="17" t="s">
        <v>1754</v>
      </c>
      <c r="N11" s="17" t="s">
        <v>1754</v>
      </c>
      <c r="O11" s="17" t="s">
        <v>1754</v>
      </c>
      <c r="P11" s="17" t="s">
        <v>1754</v>
      </c>
      <c r="Q11" s="17" t="s">
        <v>1754</v>
      </c>
      <c r="R11" s="17" t="s">
        <v>1754</v>
      </c>
      <c r="S11" s="17" t="s">
        <v>1754</v>
      </c>
      <c r="T11" s="17" t="s">
        <v>1754</v>
      </c>
      <c r="U11" s="17" t="s">
        <v>1754</v>
      </c>
      <c r="V11" s="17" t="s">
        <v>1754</v>
      </c>
      <c r="W11" s="17" t="s">
        <v>1754</v>
      </c>
      <c r="X11" s="17" t="s">
        <v>1754</v>
      </c>
      <c r="Y11" s="17" t="s">
        <v>1754</v>
      </c>
      <c r="Z11" s="17" t="s">
        <v>1754</v>
      </c>
      <c r="AA11" s="17" t="s">
        <v>1750</v>
      </c>
      <c r="AB11" s="17" t="s">
        <v>1750</v>
      </c>
      <c r="AC11" s="17" t="s">
        <v>1750</v>
      </c>
      <c r="AD11" s="17" t="s">
        <v>1750</v>
      </c>
      <c r="AE11" s="17" t="s">
        <v>1754</v>
      </c>
      <c r="AF11" s="17" t="s">
        <v>1754</v>
      </c>
      <c r="AG11" s="17" t="s">
        <v>1754</v>
      </c>
      <c r="AH11" s="17" t="s">
        <v>1754</v>
      </c>
      <c r="AI11" s="17" t="s">
        <v>1754</v>
      </c>
      <c r="AJ11" s="17" t="s">
        <v>1754</v>
      </c>
      <c r="AK11" s="17" t="s">
        <v>1750</v>
      </c>
    </row>
    <row r="12" spans="1:37" ht="21" customHeight="1" x14ac:dyDescent="0.7">
      <c r="A12" s="16">
        <f t="shared" si="0"/>
        <v>7</v>
      </c>
      <c r="B12" s="159" t="s">
        <v>1767</v>
      </c>
      <c r="C12" s="159" t="s">
        <v>1768</v>
      </c>
      <c r="D12" s="159" t="s">
        <v>1769</v>
      </c>
      <c r="E12" s="159" t="s">
        <v>0</v>
      </c>
      <c r="F12" s="17" t="s">
        <v>1750</v>
      </c>
      <c r="G12" s="17" t="s">
        <v>1750</v>
      </c>
      <c r="H12" s="17" t="s">
        <v>1750</v>
      </c>
      <c r="I12" s="17" t="s">
        <v>1750</v>
      </c>
      <c r="J12" s="17" t="s">
        <v>1750</v>
      </c>
      <c r="K12" s="17" t="s">
        <v>1754</v>
      </c>
      <c r="L12" s="17" t="s">
        <v>1754</v>
      </c>
      <c r="M12" s="17" t="s">
        <v>1754</v>
      </c>
      <c r="N12" s="17" t="s">
        <v>1754</v>
      </c>
      <c r="O12" s="17" t="s">
        <v>1754</v>
      </c>
      <c r="P12" s="17" t="s">
        <v>1754</v>
      </c>
      <c r="Q12" s="17" t="s">
        <v>1754</v>
      </c>
      <c r="R12" s="17" t="s">
        <v>1754</v>
      </c>
      <c r="S12" s="17" t="s">
        <v>1754</v>
      </c>
      <c r="T12" s="17" t="s">
        <v>1754</v>
      </c>
      <c r="U12" s="17" t="s">
        <v>1754</v>
      </c>
      <c r="V12" s="17" t="s">
        <v>1754</v>
      </c>
      <c r="W12" s="17" t="s">
        <v>1754</v>
      </c>
      <c r="X12" s="17" t="s">
        <v>1754</v>
      </c>
      <c r="Y12" s="17" t="s">
        <v>1754</v>
      </c>
      <c r="Z12" s="17" t="s">
        <v>1754</v>
      </c>
      <c r="AA12" s="17" t="s">
        <v>1754</v>
      </c>
      <c r="AB12" s="17" t="s">
        <v>1754</v>
      </c>
      <c r="AC12" s="17" t="s">
        <v>1754</v>
      </c>
      <c r="AD12" s="17" t="s">
        <v>1754</v>
      </c>
      <c r="AE12" s="17" t="s">
        <v>1750</v>
      </c>
      <c r="AF12" s="17" t="s">
        <v>1750</v>
      </c>
      <c r="AG12" s="17" t="s">
        <v>1750</v>
      </c>
      <c r="AH12" s="17" t="s">
        <v>1750</v>
      </c>
      <c r="AI12" s="17" t="s">
        <v>1754</v>
      </c>
      <c r="AJ12" s="17" t="s">
        <v>1754</v>
      </c>
      <c r="AK12" s="17" t="s">
        <v>1750</v>
      </c>
    </row>
    <row r="13" spans="1:37" ht="21" customHeight="1" x14ac:dyDescent="0.7">
      <c r="A13" s="16">
        <f t="shared" si="0"/>
        <v>8</v>
      </c>
      <c r="B13" s="159" t="s">
        <v>1770</v>
      </c>
      <c r="C13" s="159" t="s">
        <v>1752</v>
      </c>
      <c r="D13" s="159" t="s">
        <v>1771</v>
      </c>
      <c r="E13" s="159" t="s">
        <v>0</v>
      </c>
      <c r="F13" s="17" t="s">
        <v>1750</v>
      </c>
      <c r="G13" s="17" t="s">
        <v>1750</v>
      </c>
      <c r="H13" s="17" t="s">
        <v>1750</v>
      </c>
      <c r="I13" s="17" t="s">
        <v>1750</v>
      </c>
      <c r="J13" s="17" t="s">
        <v>1750</v>
      </c>
      <c r="K13" s="17" t="s">
        <v>1750</v>
      </c>
      <c r="L13" s="17" t="s">
        <v>1750</v>
      </c>
      <c r="M13" s="17" t="s">
        <v>1750</v>
      </c>
      <c r="N13" s="17" t="s">
        <v>1750</v>
      </c>
      <c r="O13" s="17" t="s">
        <v>1754</v>
      </c>
      <c r="P13" s="17" t="s">
        <v>1754</v>
      </c>
      <c r="Q13" s="17" t="s">
        <v>1754</v>
      </c>
      <c r="R13" s="17" t="s">
        <v>1754</v>
      </c>
      <c r="S13" s="17" t="s">
        <v>1754</v>
      </c>
      <c r="T13" s="17" t="s">
        <v>1754</v>
      </c>
      <c r="U13" s="17" t="s">
        <v>1754</v>
      </c>
      <c r="V13" s="17" t="s">
        <v>1754</v>
      </c>
      <c r="W13" s="17" t="s">
        <v>1754</v>
      </c>
      <c r="X13" s="17" t="s">
        <v>1754</v>
      </c>
      <c r="Y13" s="17" t="s">
        <v>1754</v>
      </c>
      <c r="Z13" s="17" t="s">
        <v>1754</v>
      </c>
      <c r="AA13" s="17" t="s">
        <v>1754</v>
      </c>
      <c r="AB13" s="17" t="s">
        <v>1754</v>
      </c>
      <c r="AC13" s="17" t="s">
        <v>1754</v>
      </c>
      <c r="AD13" s="17" t="s">
        <v>1754</v>
      </c>
      <c r="AE13" s="17" t="s">
        <v>1754</v>
      </c>
      <c r="AF13" s="17" t="s">
        <v>1754</v>
      </c>
      <c r="AG13" s="17" t="s">
        <v>1754</v>
      </c>
      <c r="AH13" s="17" t="s">
        <v>1754</v>
      </c>
      <c r="AI13" s="17" t="s">
        <v>1754</v>
      </c>
      <c r="AJ13" s="17" t="s">
        <v>1754</v>
      </c>
      <c r="AK13" s="17" t="s">
        <v>1750</v>
      </c>
    </row>
    <row r="14" spans="1:37" ht="21" customHeight="1" x14ac:dyDescent="0.7">
      <c r="A14" s="16">
        <f t="shared" si="0"/>
        <v>9</v>
      </c>
      <c r="B14" s="159" t="s">
        <v>1772</v>
      </c>
      <c r="C14" s="159" t="s">
        <v>1756</v>
      </c>
      <c r="D14" s="159" t="s">
        <v>1773</v>
      </c>
      <c r="E14" s="159" t="s">
        <v>0</v>
      </c>
      <c r="F14" s="17" t="s">
        <v>1750</v>
      </c>
      <c r="G14" s="17" t="s">
        <v>1750</v>
      </c>
      <c r="H14" s="17" t="s">
        <v>1750</v>
      </c>
      <c r="I14" s="17" t="s">
        <v>1750</v>
      </c>
      <c r="J14" s="17" t="s">
        <v>1750</v>
      </c>
      <c r="K14" s="17" t="s">
        <v>1754</v>
      </c>
      <c r="L14" s="17" t="s">
        <v>1754</v>
      </c>
      <c r="M14" s="17" t="s">
        <v>1754</v>
      </c>
      <c r="N14" s="17" t="s">
        <v>1754</v>
      </c>
      <c r="O14" s="17" t="s">
        <v>1750</v>
      </c>
      <c r="P14" s="17" t="s">
        <v>1750</v>
      </c>
      <c r="Q14" s="17" t="s">
        <v>1750</v>
      </c>
      <c r="R14" s="17" t="s">
        <v>1750</v>
      </c>
      <c r="S14" s="17" t="s">
        <v>1754</v>
      </c>
      <c r="T14" s="17" t="s">
        <v>1754</v>
      </c>
      <c r="U14" s="17" t="s">
        <v>1754</v>
      </c>
      <c r="V14" s="17" t="s">
        <v>1754</v>
      </c>
      <c r="W14" s="17" t="s">
        <v>1754</v>
      </c>
      <c r="X14" s="17" t="s">
        <v>1754</v>
      </c>
      <c r="Y14" s="17" t="s">
        <v>1754</v>
      </c>
      <c r="Z14" s="17" t="s">
        <v>1754</v>
      </c>
      <c r="AA14" s="17" t="s">
        <v>1754</v>
      </c>
      <c r="AB14" s="17" t="s">
        <v>1754</v>
      </c>
      <c r="AC14" s="17" t="s">
        <v>1754</v>
      </c>
      <c r="AD14" s="17" t="s">
        <v>1754</v>
      </c>
      <c r="AE14" s="17" t="s">
        <v>1754</v>
      </c>
      <c r="AF14" s="17" t="s">
        <v>1754</v>
      </c>
      <c r="AG14" s="17" t="s">
        <v>1754</v>
      </c>
      <c r="AH14" s="17" t="s">
        <v>1754</v>
      </c>
      <c r="AI14" s="17" t="s">
        <v>1754</v>
      </c>
      <c r="AJ14" s="17" t="s">
        <v>1754</v>
      </c>
      <c r="AK14" s="17" t="s">
        <v>1750</v>
      </c>
    </row>
    <row r="15" spans="1:37" ht="21" customHeight="1" x14ac:dyDescent="0.7">
      <c r="A15" s="16">
        <f t="shared" si="0"/>
        <v>10</v>
      </c>
      <c r="B15" s="159" t="s">
        <v>1774</v>
      </c>
      <c r="C15" s="159" t="s">
        <v>1759</v>
      </c>
      <c r="D15" s="159" t="s">
        <v>1775</v>
      </c>
      <c r="E15" s="159" t="s">
        <v>0</v>
      </c>
      <c r="F15" s="17" t="s">
        <v>1750</v>
      </c>
      <c r="G15" s="17" t="s">
        <v>1750</v>
      </c>
      <c r="H15" s="17" t="s">
        <v>1750</v>
      </c>
      <c r="I15" s="17" t="s">
        <v>1750</v>
      </c>
      <c r="J15" s="17" t="s">
        <v>1750</v>
      </c>
      <c r="K15" s="17" t="s">
        <v>1754</v>
      </c>
      <c r="L15" s="17" t="s">
        <v>1754</v>
      </c>
      <c r="M15" s="17" t="s">
        <v>1754</v>
      </c>
      <c r="N15" s="17" t="s">
        <v>1754</v>
      </c>
      <c r="O15" s="17" t="s">
        <v>1754</v>
      </c>
      <c r="P15" s="17" t="s">
        <v>1754</v>
      </c>
      <c r="Q15" s="17" t="s">
        <v>1754</v>
      </c>
      <c r="R15" s="17" t="s">
        <v>1754</v>
      </c>
      <c r="S15" s="17" t="s">
        <v>1750</v>
      </c>
      <c r="T15" s="17" t="s">
        <v>1750</v>
      </c>
      <c r="U15" s="17" t="s">
        <v>1750</v>
      </c>
      <c r="V15" s="17" t="s">
        <v>1750</v>
      </c>
      <c r="W15" s="17" t="s">
        <v>1754</v>
      </c>
      <c r="X15" s="17" t="s">
        <v>1754</v>
      </c>
      <c r="Y15" s="17" t="s">
        <v>1754</v>
      </c>
      <c r="Z15" s="17" t="s">
        <v>1754</v>
      </c>
      <c r="AA15" s="17" t="s">
        <v>1754</v>
      </c>
      <c r="AB15" s="17" t="s">
        <v>1754</v>
      </c>
      <c r="AC15" s="17" t="s">
        <v>1754</v>
      </c>
      <c r="AD15" s="17" t="s">
        <v>1754</v>
      </c>
      <c r="AE15" s="17" t="s">
        <v>1754</v>
      </c>
      <c r="AF15" s="17" t="s">
        <v>1754</v>
      </c>
      <c r="AG15" s="17" t="s">
        <v>1754</v>
      </c>
      <c r="AH15" s="17" t="s">
        <v>1754</v>
      </c>
      <c r="AI15" s="17" t="s">
        <v>1754</v>
      </c>
      <c r="AJ15" s="17" t="s">
        <v>1754</v>
      </c>
      <c r="AK15" s="17" t="s">
        <v>1750</v>
      </c>
    </row>
    <row r="16" spans="1:37" ht="21" customHeight="1" x14ac:dyDescent="0.7">
      <c r="A16" s="16">
        <f t="shared" si="0"/>
        <v>11</v>
      </c>
      <c r="B16" s="159" t="s">
        <v>1776</v>
      </c>
      <c r="C16" s="159" t="s">
        <v>1762</v>
      </c>
      <c r="D16" s="159" t="s">
        <v>1777</v>
      </c>
      <c r="E16" s="159" t="s">
        <v>0</v>
      </c>
      <c r="F16" s="17" t="s">
        <v>1750</v>
      </c>
      <c r="G16" s="17" t="s">
        <v>1750</v>
      </c>
      <c r="H16" s="17" t="s">
        <v>1750</v>
      </c>
      <c r="I16" s="17" t="s">
        <v>1750</v>
      </c>
      <c r="J16" s="17" t="s">
        <v>1750</v>
      </c>
      <c r="K16" s="17" t="s">
        <v>1754</v>
      </c>
      <c r="L16" s="17" t="s">
        <v>1754</v>
      </c>
      <c r="M16" s="17" t="s">
        <v>1754</v>
      </c>
      <c r="N16" s="17" t="s">
        <v>1754</v>
      </c>
      <c r="O16" s="17" t="s">
        <v>1754</v>
      </c>
      <c r="P16" s="17" t="s">
        <v>1754</v>
      </c>
      <c r="Q16" s="17" t="s">
        <v>1754</v>
      </c>
      <c r="R16" s="17" t="s">
        <v>1754</v>
      </c>
      <c r="S16" s="17" t="s">
        <v>1754</v>
      </c>
      <c r="T16" s="17" t="s">
        <v>1754</v>
      </c>
      <c r="U16" s="17" t="s">
        <v>1754</v>
      </c>
      <c r="V16" s="17" t="s">
        <v>1754</v>
      </c>
      <c r="W16" s="17" t="s">
        <v>1750</v>
      </c>
      <c r="X16" s="17" t="s">
        <v>1750</v>
      </c>
      <c r="Y16" s="17" t="s">
        <v>1750</v>
      </c>
      <c r="Z16" s="17" t="s">
        <v>1750</v>
      </c>
      <c r="AA16" s="17" t="s">
        <v>1754</v>
      </c>
      <c r="AB16" s="17" t="s">
        <v>1754</v>
      </c>
      <c r="AC16" s="17" t="s">
        <v>1754</v>
      </c>
      <c r="AD16" s="17" t="s">
        <v>1754</v>
      </c>
      <c r="AE16" s="17" t="s">
        <v>1754</v>
      </c>
      <c r="AF16" s="17" t="s">
        <v>1754</v>
      </c>
      <c r="AG16" s="17" t="s">
        <v>1754</v>
      </c>
      <c r="AH16" s="17" t="s">
        <v>1754</v>
      </c>
      <c r="AI16" s="17" t="s">
        <v>1754</v>
      </c>
      <c r="AJ16" s="17" t="s">
        <v>1754</v>
      </c>
      <c r="AK16" s="17" t="s">
        <v>1750</v>
      </c>
    </row>
    <row r="17" spans="1:37" ht="21" customHeight="1" x14ac:dyDescent="0.7">
      <c r="A17" s="16">
        <f t="shared" si="0"/>
        <v>12</v>
      </c>
      <c r="B17" s="159" t="s">
        <v>1778</v>
      </c>
      <c r="C17" s="159" t="s">
        <v>1765</v>
      </c>
      <c r="D17" s="159" t="s">
        <v>1779</v>
      </c>
      <c r="E17" s="159" t="s">
        <v>0</v>
      </c>
      <c r="F17" s="17" t="s">
        <v>1750</v>
      </c>
      <c r="G17" s="17" t="s">
        <v>1750</v>
      </c>
      <c r="H17" s="17" t="s">
        <v>1750</v>
      </c>
      <c r="I17" s="17" t="s">
        <v>1750</v>
      </c>
      <c r="J17" s="17" t="s">
        <v>1750</v>
      </c>
      <c r="K17" s="17" t="s">
        <v>1754</v>
      </c>
      <c r="L17" s="17" t="s">
        <v>1754</v>
      </c>
      <c r="M17" s="17" t="s">
        <v>1754</v>
      </c>
      <c r="N17" s="17" t="s">
        <v>1754</v>
      </c>
      <c r="O17" s="17" t="s">
        <v>1754</v>
      </c>
      <c r="P17" s="17" t="s">
        <v>1754</v>
      </c>
      <c r="Q17" s="17" t="s">
        <v>1754</v>
      </c>
      <c r="R17" s="17" t="s">
        <v>1754</v>
      </c>
      <c r="S17" s="17" t="s">
        <v>1754</v>
      </c>
      <c r="T17" s="17" t="s">
        <v>1754</v>
      </c>
      <c r="U17" s="17" t="s">
        <v>1754</v>
      </c>
      <c r="V17" s="17" t="s">
        <v>1754</v>
      </c>
      <c r="W17" s="17" t="s">
        <v>1754</v>
      </c>
      <c r="X17" s="17" t="s">
        <v>1754</v>
      </c>
      <c r="Y17" s="17" t="s">
        <v>1754</v>
      </c>
      <c r="Z17" s="17" t="s">
        <v>1754</v>
      </c>
      <c r="AA17" s="17" t="s">
        <v>1750</v>
      </c>
      <c r="AB17" s="17" t="s">
        <v>1750</v>
      </c>
      <c r="AC17" s="17" t="s">
        <v>1750</v>
      </c>
      <c r="AD17" s="17" t="s">
        <v>1750</v>
      </c>
      <c r="AE17" s="17" t="s">
        <v>1754</v>
      </c>
      <c r="AF17" s="17" t="s">
        <v>1754</v>
      </c>
      <c r="AG17" s="17" t="s">
        <v>1754</v>
      </c>
      <c r="AH17" s="17" t="s">
        <v>1754</v>
      </c>
      <c r="AI17" s="17" t="s">
        <v>1754</v>
      </c>
      <c r="AJ17" s="17" t="s">
        <v>1754</v>
      </c>
      <c r="AK17" s="17" t="s">
        <v>1750</v>
      </c>
    </row>
    <row r="18" spans="1:37" ht="21" customHeight="1" x14ac:dyDescent="0.7">
      <c r="A18" s="16">
        <f t="shared" si="0"/>
        <v>13</v>
      </c>
      <c r="B18" s="159" t="s">
        <v>1780</v>
      </c>
      <c r="C18" s="159" t="s">
        <v>1768</v>
      </c>
      <c r="D18" s="159" t="s">
        <v>1781</v>
      </c>
      <c r="E18" s="159" t="s">
        <v>0</v>
      </c>
      <c r="F18" s="17" t="s">
        <v>1750</v>
      </c>
      <c r="G18" s="17" t="s">
        <v>1750</v>
      </c>
      <c r="H18" s="17" t="s">
        <v>1750</v>
      </c>
      <c r="I18" s="17" t="s">
        <v>1750</v>
      </c>
      <c r="J18" s="17" t="s">
        <v>1750</v>
      </c>
      <c r="K18" s="17" t="s">
        <v>1754</v>
      </c>
      <c r="L18" s="17" t="s">
        <v>1754</v>
      </c>
      <c r="M18" s="17" t="s">
        <v>1754</v>
      </c>
      <c r="N18" s="17" t="s">
        <v>1754</v>
      </c>
      <c r="O18" s="17" t="s">
        <v>1754</v>
      </c>
      <c r="P18" s="17" t="s">
        <v>1754</v>
      </c>
      <c r="Q18" s="17" t="s">
        <v>1754</v>
      </c>
      <c r="R18" s="17" t="s">
        <v>1754</v>
      </c>
      <c r="S18" s="17" t="s">
        <v>1754</v>
      </c>
      <c r="T18" s="17" t="s">
        <v>1754</v>
      </c>
      <c r="U18" s="17" t="s">
        <v>1754</v>
      </c>
      <c r="V18" s="17" t="s">
        <v>1754</v>
      </c>
      <c r="W18" s="17" t="s">
        <v>1754</v>
      </c>
      <c r="X18" s="17" t="s">
        <v>1754</v>
      </c>
      <c r="Y18" s="17" t="s">
        <v>1754</v>
      </c>
      <c r="Z18" s="17" t="s">
        <v>1754</v>
      </c>
      <c r="AA18" s="17" t="s">
        <v>1754</v>
      </c>
      <c r="AB18" s="17" t="s">
        <v>1754</v>
      </c>
      <c r="AC18" s="17" t="s">
        <v>1754</v>
      </c>
      <c r="AD18" s="17" t="s">
        <v>1754</v>
      </c>
      <c r="AE18" s="17" t="s">
        <v>1750</v>
      </c>
      <c r="AF18" s="17" t="s">
        <v>1750</v>
      </c>
      <c r="AG18" s="17" t="s">
        <v>1750</v>
      </c>
      <c r="AH18" s="17" t="s">
        <v>1750</v>
      </c>
      <c r="AI18" s="17" t="s">
        <v>1754</v>
      </c>
      <c r="AJ18" s="17" t="s">
        <v>1754</v>
      </c>
      <c r="AK18" s="17" t="s">
        <v>1750</v>
      </c>
    </row>
    <row r="19" spans="1:37" ht="21" customHeight="1" x14ac:dyDescent="0.7">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autoFilter ref="A5:AK18" xr:uid="{0D5FCC64-96DF-418A-BC2E-917499C1D8B3}"/>
  <phoneticPr fontId="10" type="noConversion"/>
  <conditionalFormatting sqref="F6:AK18">
    <cfRule type="containsText" dxfId="41" priority="4" operator="containsText" text="x">
      <formula>NOT(ISERROR(SEARCH("x",F6)))</formula>
    </cfRule>
    <cfRule type="containsText" dxfId="40"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69140625" defaultRowHeight="21" customHeight="1" x14ac:dyDescent="0.7"/>
  <cols>
    <col min="1" max="1" width="7.69140625" style="107" customWidth="1"/>
    <col min="2" max="8" width="12.69140625" style="277" customWidth="1"/>
    <col min="9" max="9" width="12.69140625" style="267" customWidth="1"/>
    <col min="10" max="11" width="33.69140625" style="266" customWidth="1"/>
    <col min="12" max="15" width="8.69140625" style="267" customWidth="1"/>
    <col min="16" max="81" width="8.69140625" style="268"/>
    <col min="82" max="16384" width="8.69140625" style="102"/>
  </cols>
  <sheetData>
    <row r="1" spans="1:81" s="97" customFormat="1" ht="21" customHeight="1" x14ac:dyDescent="0.7">
      <c r="A1" s="107"/>
      <c r="B1" s="98"/>
      <c r="C1" s="98"/>
      <c r="D1" s="98"/>
      <c r="E1" s="98"/>
      <c r="F1" s="98"/>
      <c r="G1" s="98"/>
      <c r="H1" s="98"/>
      <c r="I1" s="104"/>
      <c r="J1" s="99"/>
      <c r="K1" s="99"/>
      <c r="L1" s="104"/>
      <c r="M1" s="104"/>
      <c r="N1" s="104"/>
      <c r="O1" s="104"/>
    </row>
    <row r="2" spans="1:81" s="97" customFormat="1" ht="21" customHeight="1" x14ac:dyDescent="0.7">
      <c r="A2" s="108" t="s">
        <v>4</v>
      </c>
      <c r="B2" s="100"/>
      <c r="C2" s="101"/>
      <c r="D2" s="101"/>
      <c r="E2" s="101"/>
      <c r="F2" s="98"/>
      <c r="G2" s="98"/>
      <c r="H2" s="98"/>
      <c r="I2" s="104"/>
      <c r="J2" s="99"/>
      <c r="K2" s="99"/>
      <c r="L2" s="104"/>
      <c r="M2" s="104"/>
      <c r="N2" s="104"/>
      <c r="O2" s="104"/>
    </row>
    <row r="3" spans="1:81" s="107" customFormat="1" ht="21" customHeight="1" x14ac:dyDescent="0.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5" customHeight="1" x14ac:dyDescent="0.7">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7">
      <c r="A5" s="111" t="s">
        <v>1743</v>
      </c>
      <c r="B5" s="39" t="s">
        <v>1782</v>
      </c>
      <c r="C5" s="39" t="s">
        <v>1783</v>
      </c>
      <c r="D5" s="39" t="s">
        <v>1784</v>
      </c>
      <c r="E5" s="39" t="s">
        <v>1785</v>
      </c>
      <c r="F5" s="39" t="s">
        <v>1786</v>
      </c>
      <c r="G5" s="39" t="s">
        <v>1787</v>
      </c>
      <c r="H5" s="39" t="s">
        <v>36</v>
      </c>
      <c r="I5" s="39" t="s">
        <v>1788</v>
      </c>
      <c r="J5" s="39" t="s">
        <v>1789</v>
      </c>
      <c r="K5" s="39" t="s">
        <v>699</v>
      </c>
      <c r="L5" s="39" t="s">
        <v>879</v>
      </c>
      <c r="M5" s="39" t="s">
        <v>1367</v>
      </c>
      <c r="N5" s="39" t="s">
        <v>1365</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7">
      <c r="A6" s="112">
        <f>ROW()-5</f>
        <v>1</v>
      </c>
      <c r="B6" s="269" t="s">
        <v>739</v>
      </c>
      <c r="C6" s="269" t="s">
        <v>739</v>
      </c>
      <c r="D6" s="269" t="s">
        <v>1069</v>
      </c>
      <c r="E6" s="269"/>
      <c r="F6" s="269" t="s">
        <v>739</v>
      </c>
      <c r="G6" s="270" t="s">
        <v>1620</v>
      </c>
      <c r="H6" s="270" t="s">
        <v>50</v>
      </c>
      <c r="I6" s="271" t="s">
        <v>134</v>
      </c>
      <c r="J6" s="272" t="s">
        <v>135</v>
      </c>
      <c r="K6" s="272" t="s">
        <v>701</v>
      </c>
      <c r="L6" s="269" t="s">
        <v>776</v>
      </c>
      <c r="M6" s="269" t="s">
        <v>777</v>
      </c>
      <c r="N6" s="269" t="s">
        <v>778</v>
      </c>
      <c r="O6" s="269" t="s">
        <v>1790</v>
      </c>
    </row>
    <row r="7" spans="1:81" ht="21" customHeight="1" x14ac:dyDescent="0.7">
      <c r="A7" s="112">
        <f t="shared" ref="A7:A70" si="1">ROW()-5</f>
        <v>2</v>
      </c>
      <c r="B7" s="269" t="s">
        <v>724</v>
      </c>
      <c r="C7" s="269" t="s">
        <v>724</v>
      </c>
      <c r="D7" s="269" t="s">
        <v>765</v>
      </c>
      <c r="E7" s="269"/>
      <c r="F7" s="269" t="s">
        <v>724</v>
      </c>
      <c r="G7" s="269" t="s">
        <v>1624</v>
      </c>
      <c r="H7" s="270" t="s">
        <v>44</v>
      </c>
      <c r="I7" s="273" t="s">
        <v>137</v>
      </c>
      <c r="J7" s="272" t="s">
        <v>138</v>
      </c>
      <c r="K7" s="272" t="s">
        <v>704</v>
      </c>
      <c r="L7" s="269" t="s">
        <v>782</v>
      </c>
      <c r="M7" s="269" t="s">
        <v>783</v>
      </c>
      <c r="N7" s="269" t="s">
        <v>784</v>
      </c>
      <c r="O7" s="269" t="s">
        <v>1790</v>
      </c>
    </row>
    <row r="8" spans="1:81" ht="21" customHeight="1" x14ac:dyDescent="0.7">
      <c r="A8" s="112">
        <f t="shared" si="1"/>
        <v>3</v>
      </c>
      <c r="B8" s="269" t="s">
        <v>728</v>
      </c>
      <c r="C8" s="269"/>
      <c r="D8" s="269" t="s">
        <v>739</v>
      </c>
      <c r="E8" s="269"/>
      <c r="F8" s="269"/>
      <c r="G8" s="269" t="s">
        <v>1642</v>
      </c>
      <c r="H8" s="270" t="s">
        <v>53</v>
      </c>
      <c r="I8" s="273" t="s">
        <v>139</v>
      </c>
      <c r="J8" s="272" t="s">
        <v>140</v>
      </c>
      <c r="K8" s="272" t="s">
        <v>708</v>
      </c>
      <c r="L8" s="269" t="s">
        <v>785</v>
      </c>
      <c r="M8" s="269" t="s">
        <v>786</v>
      </c>
      <c r="N8" s="269" t="s">
        <v>782</v>
      </c>
      <c r="O8" s="269" t="s">
        <v>1790</v>
      </c>
    </row>
    <row r="9" spans="1:81" ht="21" customHeight="1" x14ac:dyDescent="0.7">
      <c r="A9" s="112">
        <f t="shared" si="1"/>
        <v>4</v>
      </c>
      <c r="B9" s="269" t="s">
        <v>743</v>
      </c>
      <c r="C9" s="269"/>
      <c r="D9" s="269" t="s">
        <v>1286</v>
      </c>
      <c r="E9" s="269"/>
      <c r="F9" s="269"/>
      <c r="G9" s="269" t="s">
        <v>1610</v>
      </c>
      <c r="H9" s="270" t="s">
        <v>47</v>
      </c>
      <c r="I9" s="273" t="s">
        <v>157</v>
      </c>
      <c r="J9" s="272" t="s">
        <v>158</v>
      </c>
      <c r="K9" s="272" t="s">
        <v>712</v>
      </c>
      <c r="L9" s="269" t="s">
        <v>785</v>
      </c>
      <c r="M9" s="269" t="s">
        <v>786</v>
      </c>
      <c r="N9" s="269" t="s">
        <v>782</v>
      </c>
      <c r="O9" s="269" t="s">
        <v>1790</v>
      </c>
    </row>
    <row r="10" spans="1:81" ht="21" customHeight="1" x14ac:dyDescent="0.7">
      <c r="A10" s="112">
        <f t="shared" si="1"/>
        <v>5</v>
      </c>
      <c r="B10" s="270" t="s">
        <v>794</v>
      </c>
      <c r="C10" s="269"/>
      <c r="D10" s="269" t="s">
        <v>724</v>
      </c>
      <c r="E10" s="269"/>
      <c r="F10" s="269"/>
      <c r="G10" s="269" t="s">
        <v>739</v>
      </c>
      <c r="H10" s="270" t="s">
        <v>39</v>
      </c>
      <c r="I10" s="273" t="s">
        <v>166</v>
      </c>
      <c r="J10" s="272" t="s">
        <v>167</v>
      </c>
      <c r="K10" s="272" t="s">
        <v>716</v>
      </c>
      <c r="L10" s="269" t="s">
        <v>788</v>
      </c>
      <c r="M10" s="269" t="s">
        <v>789</v>
      </c>
      <c r="N10" s="269" t="s">
        <v>790</v>
      </c>
      <c r="O10" s="269" t="s">
        <v>1790</v>
      </c>
    </row>
    <row r="11" spans="1:81" ht="21" customHeight="1" x14ac:dyDescent="0.7">
      <c r="A11" s="112">
        <f t="shared" si="1"/>
        <v>6</v>
      </c>
      <c r="B11" s="269" t="s">
        <v>758</v>
      </c>
      <c r="C11" s="269"/>
      <c r="D11" s="269"/>
      <c r="E11" s="269"/>
      <c r="F11" s="269"/>
      <c r="G11" s="269" t="s">
        <v>1286</v>
      </c>
      <c r="H11" s="270" t="s">
        <v>89</v>
      </c>
      <c r="I11" s="273" t="s">
        <v>168</v>
      </c>
      <c r="J11" s="272" t="s">
        <v>169</v>
      </c>
      <c r="K11" s="272" t="s">
        <v>721</v>
      </c>
      <c r="L11" s="269" t="s">
        <v>788</v>
      </c>
      <c r="M11" s="269" t="s">
        <v>789</v>
      </c>
      <c r="N11" s="269" t="s">
        <v>790</v>
      </c>
      <c r="O11" s="269" t="s">
        <v>1790</v>
      </c>
    </row>
    <row r="12" spans="1:81" ht="21" customHeight="1" x14ac:dyDescent="0.7">
      <c r="A12" s="112">
        <f t="shared" si="1"/>
        <v>7</v>
      </c>
      <c r="B12" s="269" t="s">
        <v>735</v>
      </c>
      <c r="C12" s="269"/>
      <c r="D12" s="269"/>
      <c r="E12" s="269"/>
      <c r="F12" s="269"/>
      <c r="G12" s="269" t="s">
        <v>1643</v>
      </c>
      <c r="H12" s="270" t="s">
        <v>120</v>
      </c>
      <c r="I12" s="273" t="s">
        <v>180</v>
      </c>
      <c r="J12" s="272" t="s">
        <v>181</v>
      </c>
      <c r="K12" s="272" t="s">
        <v>725</v>
      </c>
      <c r="L12" s="269" t="s">
        <v>724</v>
      </c>
      <c r="M12" s="269" t="s">
        <v>728</v>
      </c>
      <c r="N12" s="269" t="s">
        <v>739</v>
      </c>
      <c r="O12" s="269" t="s">
        <v>1790</v>
      </c>
    </row>
    <row r="13" spans="1:81" ht="21" customHeight="1" x14ac:dyDescent="0.7">
      <c r="A13" s="112">
        <f t="shared" si="1"/>
        <v>8</v>
      </c>
      <c r="B13" s="269" t="s">
        <v>754</v>
      </c>
      <c r="C13" s="269"/>
      <c r="D13" s="269"/>
      <c r="E13" s="269"/>
      <c r="F13" s="269"/>
      <c r="G13" s="269" t="s">
        <v>1647</v>
      </c>
      <c r="H13" s="269"/>
      <c r="I13" s="273" t="s">
        <v>184</v>
      </c>
      <c r="J13" s="272" t="s">
        <v>185</v>
      </c>
      <c r="K13" s="272" t="s">
        <v>729</v>
      </c>
      <c r="L13" s="269" t="s">
        <v>724</v>
      </c>
      <c r="M13" s="269" t="s">
        <v>728</v>
      </c>
      <c r="N13" s="269" t="s">
        <v>739</v>
      </c>
      <c r="O13" s="269" t="s">
        <v>1790</v>
      </c>
    </row>
    <row r="14" spans="1:81" ht="21" customHeight="1" x14ac:dyDescent="0.7">
      <c r="A14" s="112">
        <f t="shared" si="1"/>
        <v>9</v>
      </c>
      <c r="B14" s="269"/>
      <c r="C14" s="269"/>
      <c r="D14" s="269"/>
      <c r="E14" s="269"/>
      <c r="F14" s="269"/>
      <c r="G14" s="269" t="s">
        <v>1641</v>
      </c>
      <c r="H14" s="269"/>
      <c r="I14" s="273" t="s">
        <v>187</v>
      </c>
      <c r="J14" s="272" t="s">
        <v>188</v>
      </c>
      <c r="K14" s="272" t="s">
        <v>732</v>
      </c>
      <c r="L14" s="269" t="s">
        <v>724</v>
      </c>
      <c r="M14" s="269" t="s">
        <v>728</v>
      </c>
      <c r="N14" s="269" t="s">
        <v>739</v>
      </c>
      <c r="O14" s="269" t="s">
        <v>1790</v>
      </c>
    </row>
    <row r="15" spans="1:81" ht="21" customHeight="1" x14ac:dyDescent="0.7">
      <c r="A15" s="112">
        <f t="shared" si="1"/>
        <v>10</v>
      </c>
      <c r="B15" s="269"/>
      <c r="C15" s="269"/>
      <c r="D15" s="269"/>
      <c r="E15" s="269"/>
      <c r="F15" s="269"/>
      <c r="G15" s="269" t="s">
        <v>1646</v>
      </c>
      <c r="H15" s="269"/>
      <c r="I15" s="273" t="s">
        <v>189</v>
      </c>
      <c r="J15" s="272" t="s">
        <v>190</v>
      </c>
      <c r="K15" s="272" t="s">
        <v>736</v>
      </c>
      <c r="L15" s="269" t="s">
        <v>739</v>
      </c>
      <c r="M15" s="269" t="s">
        <v>735</v>
      </c>
      <c r="N15" s="269" t="s">
        <v>724</v>
      </c>
      <c r="O15" s="269" t="s">
        <v>1790</v>
      </c>
    </row>
    <row r="16" spans="1:81" ht="21" customHeight="1" x14ac:dyDescent="0.7">
      <c r="A16" s="112">
        <f t="shared" si="1"/>
        <v>11</v>
      </c>
      <c r="B16" s="269"/>
      <c r="C16" s="269"/>
      <c r="D16" s="269"/>
      <c r="E16" s="269"/>
      <c r="F16" s="269"/>
      <c r="G16" s="269" t="s">
        <v>1631</v>
      </c>
      <c r="H16" s="269"/>
      <c r="I16" s="273" t="s">
        <v>191</v>
      </c>
      <c r="J16" s="272" t="s">
        <v>192</v>
      </c>
      <c r="K16" s="272" t="s">
        <v>740</v>
      </c>
      <c r="L16" s="269" t="s">
        <v>739</v>
      </c>
      <c r="M16" s="269" t="s">
        <v>794</v>
      </c>
      <c r="N16" s="269" t="s">
        <v>724</v>
      </c>
      <c r="O16" s="269" t="s">
        <v>1790</v>
      </c>
    </row>
    <row r="17" spans="1:15" ht="21" customHeight="1" x14ac:dyDescent="0.7">
      <c r="A17" s="112">
        <f t="shared" si="1"/>
        <v>12</v>
      </c>
      <c r="B17" s="269"/>
      <c r="C17" s="269"/>
      <c r="D17" s="269"/>
      <c r="E17" s="269"/>
      <c r="F17" s="269"/>
      <c r="G17" s="269" t="s">
        <v>1606</v>
      </c>
      <c r="H17" s="269"/>
      <c r="I17" s="273" t="s">
        <v>193</v>
      </c>
      <c r="J17" s="272" t="s">
        <v>194</v>
      </c>
      <c r="K17" s="272" t="s">
        <v>744</v>
      </c>
      <c r="L17" s="269" t="s">
        <v>739</v>
      </c>
      <c r="M17" s="269" t="s">
        <v>743</v>
      </c>
      <c r="N17" s="269" t="s">
        <v>724</v>
      </c>
      <c r="O17" s="269" t="s">
        <v>1790</v>
      </c>
    </row>
    <row r="18" spans="1:15" ht="21" customHeight="1" x14ac:dyDescent="0.7">
      <c r="A18" s="112">
        <f t="shared" si="1"/>
        <v>13</v>
      </c>
      <c r="B18" s="269"/>
      <c r="C18" s="269"/>
      <c r="D18" s="269"/>
      <c r="E18" s="269"/>
      <c r="F18" s="269"/>
      <c r="G18" s="269" t="s">
        <v>724</v>
      </c>
      <c r="H18" s="269"/>
      <c r="I18" s="273" t="s">
        <v>195</v>
      </c>
      <c r="J18" s="272" t="s">
        <v>196</v>
      </c>
      <c r="K18" s="272" t="s">
        <v>747</v>
      </c>
      <c r="L18" s="269" t="s">
        <v>782</v>
      </c>
      <c r="M18" s="269" t="s">
        <v>795</v>
      </c>
      <c r="N18" s="269" t="s">
        <v>796</v>
      </c>
      <c r="O18" s="269" t="s">
        <v>1790</v>
      </c>
    </row>
    <row r="19" spans="1:15" ht="21" customHeight="1" x14ac:dyDescent="0.7">
      <c r="A19" s="112">
        <f t="shared" si="1"/>
        <v>14</v>
      </c>
      <c r="B19" s="269"/>
      <c r="C19" s="269"/>
      <c r="D19" s="269"/>
      <c r="E19" s="269"/>
      <c r="F19" s="269"/>
      <c r="G19" s="269" t="s">
        <v>1602</v>
      </c>
      <c r="H19" s="269"/>
      <c r="I19" s="273" t="s">
        <v>197</v>
      </c>
      <c r="J19" s="272" t="s">
        <v>198</v>
      </c>
      <c r="K19" s="274" t="s">
        <v>751</v>
      </c>
      <c r="L19" s="269" t="s">
        <v>724</v>
      </c>
      <c r="M19" s="269" t="s">
        <v>728</v>
      </c>
      <c r="N19" s="269" t="s">
        <v>739</v>
      </c>
      <c r="O19" s="269" t="s">
        <v>1790</v>
      </c>
    </row>
    <row r="20" spans="1:15" ht="21" customHeight="1" x14ac:dyDescent="0.7">
      <c r="A20" s="112">
        <f t="shared" si="1"/>
        <v>15</v>
      </c>
      <c r="B20" s="269"/>
      <c r="C20" s="269"/>
      <c r="D20" s="269"/>
      <c r="E20" s="269"/>
      <c r="F20" s="269"/>
      <c r="G20" s="269"/>
      <c r="H20" s="269"/>
      <c r="I20" s="273" t="s">
        <v>209</v>
      </c>
      <c r="J20" s="272" t="s">
        <v>210</v>
      </c>
      <c r="K20" s="272" t="s">
        <v>755</v>
      </c>
      <c r="L20" s="269" t="s">
        <v>739</v>
      </c>
      <c r="M20" s="269" t="s">
        <v>754</v>
      </c>
      <c r="N20" s="269" t="s">
        <v>724</v>
      </c>
      <c r="O20" s="269" t="s">
        <v>1790</v>
      </c>
    </row>
    <row r="21" spans="1:15" ht="21" customHeight="1" x14ac:dyDescent="0.7">
      <c r="A21" s="112">
        <f t="shared" si="1"/>
        <v>16</v>
      </c>
      <c r="B21" s="269"/>
      <c r="C21" s="269"/>
      <c r="D21" s="269"/>
      <c r="E21" s="269"/>
      <c r="F21" s="269"/>
      <c r="G21" s="269"/>
      <c r="H21" s="269"/>
      <c r="I21" s="273" t="s">
        <v>211</v>
      </c>
      <c r="J21" s="272" t="s">
        <v>212</v>
      </c>
      <c r="K21" s="272" t="s">
        <v>759</v>
      </c>
      <c r="L21" s="269" t="s">
        <v>739</v>
      </c>
      <c r="M21" s="269" t="s">
        <v>758</v>
      </c>
      <c r="N21" s="269" t="s">
        <v>724</v>
      </c>
      <c r="O21" s="269" t="s">
        <v>1790</v>
      </c>
    </row>
    <row r="22" spans="1:15" ht="21" customHeight="1" x14ac:dyDescent="0.7">
      <c r="A22" s="112">
        <f t="shared" si="1"/>
        <v>17</v>
      </c>
      <c r="B22" s="269"/>
      <c r="C22" s="269"/>
      <c r="D22" s="269"/>
      <c r="E22" s="269"/>
      <c r="F22" s="269"/>
      <c r="G22" s="269"/>
      <c r="H22" s="269"/>
      <c r="I22" s="273" t="s">
        <v>213</v>
      </c>
      <c r="J22" s="272" t="s">
        <v>214</v>
      </c>
      <c r="K22" s="272" t="s">
        <v>910</v>
      </c>
      <c r="L22" s="269" t="s">
        <v>782</v>
      </c>
      <c r="M22" s="269" t="s">
        <v>783</v>
      </c>
      <c r="N22" s="269" t="s">
        <v>784</v>
      </c>
      <c r="O22" s="269" t="s">
        <v>1791</v>
      </c>
    </row>
    <row r="23" spans="1:15" ht="21" customHeight="1" x14ac:dyDescent="0.7">
      <c r="A23" s="112">
        <f t="shared" si="1"/>
        <v>18</v>
      </c>
      <c r="B23" s="269"/>
      <c r="C23" s="269"/>
      <c r="D23" s="269"/>
      <c r="E23" s="269"/>
      <c r="F23" s="269"/>
      <c r="G23" s="269"/>
      <c r="H23" s="269"/>
      <c r="I23" s="273" t="s">
        <v>215</v>
      </c>
      <c r="J23" s="272" t="s">
        <v>216</v>
      </c>
      <c r="K23" s="272" t="s">
        <v>914</v>
      </c>
      <c r="L23" s="269" t="s">
        <v>782</v>
      </c>
      <c r="M23" s="269" t="s">
        <v>783</v>
      </c>
      <c r="N23" s="269" t="s">
        <v>784</v>
      </c>
      <c r="O23" s="269" t="s">
        <v>1791</v>
      </c>
    </row>
    <row r="24" spans="1:15" ht="21" customHeight="1" x14ac:dyDescent="0.7">
      <c r="A24" s="112">
        <f t="shared" si="1"/>
        <v>19</v>
      </c>
      <c r="B24" s="269"/>
      <c r="C24" s="269"/>
      <c r="D24" s="269"/>
      <c r="E24" s="269"/>
      <c r="F24" s="269"/>
      <c r="G24" s="269"/>
      <c r="H24" s="269"/>
      <c r="I24" s="273" t="s">
        <v>227</v>
      </c>
      <c r="J24" s="272" t="s">
        <v>228</v>
      </c>
      <c r="K24" s="272" t="s">
        <v>917</v>
      </c>
      <c r="L24" s="269" t="s">
        <v>724</v>
      </c>
      <c r="M24" s="269"/>
      <c r="N24" s="269" t="s">
        <v>739</v>
      </c>
      <c r="O24" s="269" t="s">
        <v>1791</v>
      </c>
    </row>
    <row r="25" spans="1:15" ht="21" customHeight="1" x14ac:dyDescent="0.7">
      <c r="A25" s="112">
        <f t="shared" si="1"/>
        <v>20</v>
      </c>
      <c r="B25" s="269"/>
      <c r="C25" s="269"/>
      <c r="D25" s="269"/>
      <c r="E25" s="269"/>
      <c r="F25" s="269"/>
      <c r="G25" s="269"/>
      <c r="H25" s="269"/>
      <c r="I25" s="273" t="s">
        <v>231</v>
      </c>
      <c r="J25" s="272" t="s">
        <v>232</v>
      </c>
      <c r="K25" s="272" t="s">
        <v>920</v>
      </c>
      <c r="L25" s="269" t="s">
        <v>782</v>
      </c>
      <c r="M25" s="269" t="s">
        <v>783</v>
      </c>
      <c r="N25" s="269" t="s">
        <v>784</v>
      </c>
      <c r="O25" s="269" t="s">
        <v>1791</v>
      </c>
    </row>
    <row r="26" spans="1:15" ht="21" customHeight="1" x14ac:dyDescent="0.7">
      <c r="A26" s="112">
        <f t="shared" si="1"/>
        <v>21</v>
      </c>
      <c r="B26" s="269"/>
      <c r="C26" s="269"/>
      <c r="D26" s="269"/>
      <c r="E26" s="269"/>
      <c r="F26" s="269"/>
      <c r="G26" s="269"/>
      <c r="H26" s="269"/>
      <c r="I26" s="273" t="s">
        <v>233</v>
      </c>
      <c r="J26" s="272" t="s">
        <v>234</v>
      </c>
      <c r="K26" s="272" t="s">
        <v>923</v>
      </c>
      <c r="L26" s="269" t="s">
        <v>1007</v>
      </c>
      <c r="M26" s="269" t="s">
        <v>1008</v>
      </c>
      <c r="N26" s="269" t="s">
        <v>1009</v>
      </c>
      <c r="O26" s="269" t="s">
        <v>1791</v>
      </c>
    </row>
    <row r="27" spans="1:15" ht="21" customHeight="1" x14ac:dyDescent="0.7">
      <c r="A27" s="112">
        <f t="shared" si="1"/>
        <v>22</v>
      </c>
      <c r="B27" s="269"/>
      <c r="C27" s="269"/>
      <c r="D27" s="269"/>
      <c r="E27" s="269"/>
      <c r="F27" s="269"/>
      <c r="G27" s="269"/>
      <c r="H27" s="269"/>
      <c r="I27" s="273" t="s">
        <v>237</v>
      </c>
      <c r="J27" s="272" t="s">
        <v>238</v>
      </c>
      <c r="K27" s="275" t="s">
        <v>927</v>
      </c>
      <c r="L27" s="269" t="s">
        <v>1007</v>
      </c>
      <c r="M27" s="269" t="s">
        <v>1008</v>
      </c>
      <c r="N27" s="269" t="s">
        <v>1009</v>
      </c>
      <c r="O27" s="269" t="s">
        <v>1791</v>
      </c>
    </row>
    <row r="28" spans="1:15" ht="21" customHeight="1" x14ac:dyDescent="0.7">
      <c r="A28" s="112">
        <f t="shared" si="1"/>
        <v>23</v>
      </c>
      <c r="B28" s="269"/>
      <c r="C28" s="269"/>
      <c r="D28" s="269"/>
      <c r="E28" s="269"/>
      <c r="F28" s="269"/>
      <c r="G28" s="269"/>
      <c r="H28" s="269"/>
      <c r="I28" s="273" t="s">
        <v>239</v>
      </c>
      <c r="J28" s="272" t="s">
        <v>240</v>
      </c>
      <c r="K28" s="272" t="s">
        <v>931</v>
      </c>
      <c r="L28" s="276" t="s">
        <v>785</v>
      </c>
      <c r="M28" s="276" t="s">
        <v>1012</v>
      </c>
      <c r="N28" s="276" t="s">
        <v>790</v>
      </c>
      <c r="O28" s="269" t="s">
        <v>1791</v>
      </c>
    </row>
    <row r="29" spans="1:15" ht="21" customHeight="1" x14ac:dyDescent="0.7">
      <c r="A29" s="112">
        <f t="shared" si="1"/>
        <v>24</v>
      </c>
      <c r="B29" s="269"/>
      <c r="C29" s="269"/>
      <c r="D29" s="269"/>
      <c r="E29" s="269"/>
      <c r="F29" s="269"/>
      <c r="G29" s="269"/>
      <c r="H29" s="269"/>
      <c r="I29" s="273" t="s">
        <v>241</v>
      </c>
      <c r="J29" s="272" t="s">
        <v>242</v>
      </c>
      <c r="K29" s="272" t="s">
        <v>935</v>
      </c>
      <c r="L29" s="269" t="s">
        <v>790</v>
      </c>
      <c r="M29" s="269" t="s">
        <v>789</v>
      </c>
      <c r="N29" s="269" t="s">
        <v>788</v>
      </c>
      <c r="O29" s="269" t="s">
        <v>1791</v>
      </c>
    </row>
    <row r="30" spans="1:15" ht="21" customHeight="1" x14ac:dyDescent="0.7">
      <c r="A30" s="112">
        <f t="shared" si="1"/>
        <v>25</v>
      </c>
      <c r="B30" s="269"/>
      <c r="C30" s="269"/>
      <c r="D30" s="269"/>
      <c r="E30" s="269"/>
      <c r="F30" s="269"/>
      <c r="G30" s="269"/>
      <c r="H30" s="269"/>
      <c r="I30" s="273" t="s">
        <v>465</v>
      </c>
      <c r="J30" s="272" t="s">
        <v>466</v>
      </c>
      <c r="K30" s="272" t="s">
        <v>939</v>
      </c>
      <c r="L30" s="269" t="s">
        <v>724</v>
      </c>
      <c r="M30" s="269"/>
      <c r="N30" s="269" t="s">
        <v>739</v>
      </c>
      <c r="O30" s="269" t="s">
        <v>1791</v>
      </c>
    </row>
    <row r="31" spans="1:15" ht="21" customHeight="1" x14ac:dyDescent="0.7">
      <c r="A31" s="112">
        <f t="shared" si="1"/>
        <v>26</v>
      </c>
      <c r="B31" s="269"/>
      <c r="C31" s="269"/>
      <c r="D31" s="269"/>
      <c r="E31" s="269"/>
      <c r="F31" s="269"/>
      <c r="G31" s="269"/>
      <c r="H31" s="269"/>
      <c r="I31" s="273" t="s">
        <v>467</v>
      </c>
      <c r="J31" s="272" t="s">
        <v>468</v>
      </c>
      <c r="K31" s="272" t="s">
        <v>942</v>
      </c>
      <c r="L31" s="269" t="s">
        <v>724</v>
      </c>
      <c r="M31" s="269"/>
      <c r="N31" s="269" t="s">
        <v>739</v>
      </c>
      <c r="O31" s="269" t="s">
        <v>1791</v>
      </c>
    </row>
    <row r="32" spans="1:15" ht="21" customHeight="1" x14ac:dyDescent="0.7">
      <c r="A32" s="112">
        <f t="shared" si="1"/>
        <v>27</v>
      </c>
      <c r="B32" s="269"/>
      <c r="C32" s="269"/>
      <c r="D32" s="269"/>
      <c r="E32" s="269"/>
      <c r="F32" s="269"/>
      <c r="G32" s="269"/>
      <c r="H32" s="269"/>
      <c r="I32" s="273" t="s">
        <v>469</v>
      </c>
      <c r="J32" s="272" t="s">
        <v>470</v>
      </c>
      <c r="K32" s="272" t="s">
        <v>945</v>
      </c>
      <c r="L32" s="269" t="s">
        <v>724</v>
      </c>
      <c r="M32" s="269"/>
      <c r="N32" s="269" t="s">
        <v>739</v>
      </c>
      <c r="O32" s="269" t="s">
        <v>1791</v>
      </c>
    </row>
    <row r="33" spans="1:15" ht="21" customHeight="1" x14ac:dyDescent="0.7">
      <c r="A33" s="112">
        <f t="shared" si="1"/>
        <v>28</v>
      </c>
      <c r="B33" s="269"/>
      <c r="C33" s="269"/>
      <c r="D33" s="269"/>
      <c r="E33" s="269"/>
      <c r="F33" s="269"/>
      <c r="G33" s="269"/>
      <c r="H33" s="269"/>
      <c r="I33" s="273" t="s">
        <v>471</v>
      </c>
      <c r="J33" s="272" t="s">
        <v>472</v>
      </c>
      <c r="K33" s="272" t="s">
        <v>949</v>
      </c>
      <c r="L33" s="269" t="s">
        <v>724</v>
      </c>
      <c r="M33" s="269"/>
      <c r="N33" s="269" t="s">
        <v>739</v>
      </c>
      <c r="O33" s="269" t="s">
        <v>1791</v>
      </c>
    </row>
    <row r="34" spans="1:15" ht="21" customHeight="1" x14ac:dyDescent="0.7">
      <c r="A34" s="112">
        <f t="shared" si="1"/>
        <v>29</v>
      </c>
      <c r="B34" s="269"/>
      <c r="C34" s="269"/>
      <c r="D34" s="269"/>
      <c r="E34" s="269"/>
      <c r="F34" s="269"/>
      <c r="G34" s="269"/>
      <c r="H34" s="269"/>
      <c r="I34" s="273" t="s">
        <v>473</v>
      </c>
      <c r="J34" s="272" t="s">
        <v>474</v>
      </c>
      <c r="K34" s="272" t="s">
        <v>952</v>
      </c>
      <c r="L34" s="269" t="s">
        <v>724</v>
      </c>
      <c r="M34" s="269"/>
      <c r="N34" s="269" t="s">
        <v>739</v>
      </c>
      <c r="O34" s="269" t="s">
        <v>1791</v>
      </c>
    </row>
    <row r="35" spans="1:15" ht="21" customHeight="1" x14ac:dyDescent="0.7">
      <c r="A35" s="112">
        <f t="shared" si="1"/>
        <v>30</v>
      </c>
      <c r="B35" s="269"/>
      <c r="C35" s="269"/>
      <c r="D35" s="269"/>
      <c r="E35" s="269"/>
      <c r="F35" s="269"/>
      <c r="G35" s="269"/>
      <c r="H35" s="269"/>
      <c r="I35" s="273" t="s">
        <v>475</v>
      </c>
      <c r="J35" s="272" t="s">
        <v>476</v>
      </c>
      <c r="K35" s="272" t="s">
        <v>955</v>
      </c>
      <c r="L35" s="269" t="s">
        <v>782</v>
      </c>
      <c r="M35" s="269" t="s">
        <v>783</v>
      </c>
      <c r="N35" s="269" t="s">
        <v>784</v>
      </c>
      <c r="O35" s="269" t="s">
        <v>1791</v>
      </c>
    </row>
    <row r="36" spans="1:15" ht="21" customHeight="1" x14ac:dyDescent="0.7">
      <c r="A36" s="112">
        <f t="shared" si="1"/>
        <v>31</v>
      </c>
      <c r="B36" s="269"/>
      <c r="C36" s="269"/>
      <c r="D36" s="269"/>
      <c r="E36" s="269"/>
      <c r="F36" s="269"/>
      <c r="G36" s="269"/>
      <c r="H36" s="269"/>
      <c r="I36" s="273" t="s">
        <v>477</v>
      </c>
      <c r="J36" s="272" t="s">
        <v>478</v>
      </c>
      <c r="K36" s="272" t="s">
        <v>958</v>
      </c>
      <c r="L36" s="269" t="s">
        <v>782</v>
      </c>
      <c r="M36" s="269" t="s">
        <v>795</v>
      </c>
      <c r="N36" s="269" t="s">
        <v>796</v>
      </c>
      <c r="O36" s="269" t="s">
        <v>1791</v>
      </c>
    </row>
    <row r="37" spans="1:15" ht="21" customHeight="1" x14ac:dyDescent="0.7">
      <c r="A37" s="112">
        <f t="shared" si="1"/>
        <v>32</v>
      </c>
      <c r="B37" s="269"/>
      <c r="C37" s="269"/>
      <c r="D37" s="269"/>
      <c r="E37" s="269"/>
      <c r="F37" s="269"/>
      <c r="G37" s="269"/>
      <c r="H37" s="269"/>
      <c r="I37" s="273" t="s">
        <v>479</v>
      </c>
      <c r="J37" s="272" t="s">
        <v>480</v>
      </c>
      <c r="K37" s="272" t="s">
        <v>962</v>
      </c>
      <c r="L37" s="269" t="s">
        <v>1019</v>
      </c>
      <c r="M37" s="269" t="s">
        <v>1020</v>
      </c>
      <c r="N37" s="269" t="s">
        <v>1021</v>
      </c>
      <c r="O37" s="269" t="s">
        <v>1791</v>
      </c>
    </row>
    <row r="38" spans="1:15" ht="21" customHeight="1" x14ac:dyDescent="0.7">
      <c r="A38" s="112">
        <f t="shared" si="1"/>
        <v>33</v>
      </c>
      <c r="B38" s="269"/>
      <c r="C38" s="269"/>
      <c r="D38" s="269"/>
      <c r="E38" s="269"/>
      <c r="F38" s="269"/>
      <c r="G38" s="269"/>
      <c r="H38" s="269"/>
      <c r="I38" s="273" t="s">
        <v>481</v>
      </c>
      <c r="J38" s="272" t="s">
        <v>482</v>
      </c>
      <c r="K38" s="272" t="s">
        <v>965</v>
      </c>
      <c r="L38" s="269" t="s">
        <v>724</v>
      </c>
      <c r="M38" s="269"/>
      <c r="N38" s="269" t="s">
        <v>739</v>
      </c>
      <c r="O38" s="269" t="s">
        <v>1791</v>
      </c>
    </row>
    <row r="39" spans="1:15" ht="21" customHeight="1" x14ac:dyDescent="0.7">
      <c r="A39" s="112">
        <f t="shared" si="1"/>
        <v>34</v>
      </c>
      <c r="B39" s="269"/>
      <c r="C39" s="269"/>
      <c r="D39" s="269"/>
      <c r="E39" s="269"/>
      <c r="F39" s="269"/>
      <c r="G39" s="269"/>
      <c r="H39" s="269"/>
      <c r="I39" s="273" t="s">
        <v>484</v>
      </c>
      <c r="J39" s="272" t="s">
        <v>485</v>
      </c>
      <c r="K39" s="272" t="s">
        <v>968</v>
      </c>
      <c r="L39" s="269" t="s">
        <v>724</v>
      </c>
      <c r="M39" s="269"/>
      <c r="N39" s="269" t="s">
        <v>739</v>
      </c>
      <c r="O39" s="269" t="s">
        <v>1791</v>
      </c>
    </row>
    <row r="40" spans="1:15" ht="21" customHeight="1" x14ac:dyDescent="0.7">
      <c r="A40" s="112">
        <f t="shared" si="1"/>
        <v>35</v>
      </c>
      <c r="B40" s="269"/>
      <c r="C40" s="269"/>
      <c r="D40" s="269"/>
      <c r="E40" s="269"/>
      <c r="F40" s="269"/>
      <c r="G40" s="269"/>
      <c r="H40" s="269"/>
      <c r="I40" s="273" t="s">
        <v>486</v>
      </c>
      <c r="J40" s="272" t="s">
        <v>487</v>
      </c>
      <c r="K40" s="272" t="s">
        <v>971</v>
      </c>
      <c r="L40" s="269" t="s">
        <v>724</v>
      </c>
      <c r="M40" s="269"/>
      <c r="N40" s="269" t="s">
        <v>739</v>
      </c>
      <c r="O40" s="269" t="s">
        <v>1791</v>
      </c>
    </row>
    <row r="41" spans="1:15" ht="21" customHeight="1" x14ac:dyDescent="0.7">
      <c r="A41" s="112">
        <f t="shared" si="1"/>
        <v>36</v>
      </c>
      <c r="B41" s="269"/>
      <c r="C41" s="269"/>
      <c r="D41" s="269"/>
      <c r="E41" s="269"/>
      <c r="F41" s="269"/>
      <c r="G41" s="269"/>
      <c r="H41" s="269"/>
      <c r="I41" s="273" t="s">
        <v>488</v>
      </c>
      <c r="J41" s="272" t="s">
        <v>489</v>
      </c>
      <c r="K41" s="272" t="s">
        <v>974</v>
      </c>
      <c r="L41" s="269" t="s">
        <v>724</v>
      </c>
      <c r="M41" s="269"/>
      <c r="N41" s="269" t="s">
        <v>739</v>
      </c>
      <c r="O41" s="269" t="s">
        <v>1791</v>
      </c>
    </row>
    <row r="42" spans="1:15" ht="21" customHeight="1" x14ac:dyDescent="0.7">
      <c r="A42" s="112">
        <f t="shared" si="1"/>
        <v>37</v>
      </c>
      <c r="B42" s="269"/>
      <c r="C42" s="269"/>
      <c r="D42" s="269"/>
      <c r="E42" s="269"/>
      <c r="F42" s="269"/>
      <c r="G42" s="269"/>
      <c r="H42" s="269"/>
      <c r="I42" s="273" t="s">
        <v>490</v>
      </c>
      <c r="J42" s="272" t="s">
        <v>491</v>
      </c>
      <c r="K42" s="272" t="s">
        <v>977</v>
      </c>
      <c r="L42" s="269" t="s">
        <v>1024</v>
      </c>
      <c r="M42" s="269" t="s">
        <v>1025</v>
      </c>
      <c r="N42" s="269" t="s">
        <v>1009</v>
      </c>
      <c r="O42" s="269" t="s">
        <v>1791</v>
      </c>
    </row>
    <row r="43" spans="1:15" ht="21" customHeight="1" x14ac:dyDescent="0.7">
      <c r="A43" s="112">
        <f t="shared" si="1"/>
        <v>38</v>
      </c>
      <c r="B43" s="269"/>
      <c r="C43" s="269"/>
      <c r="D43" s="269"/>
      <c r="E43" s="269"/>
      <c r="F43" s="269"/>
      <c r="G43" s="269"/>
      <c r="H43" s="269"/>
      <c r="I43" s="273" t="s">
        <v>492</v>
      </c>
      <c r="J43" s="272" t="s">
        <v>493</v>
      </c>
      <c r="K43" s="272" t="s">
        <v>980</v>
      </c>
      <c r="L43" s="269" t="s">
        <v>782</v>
      </c>
      <c r="M43" s="269" t="s">
        <v>783</v>
      </c>
      <c r="N43" s="269" t="s">
        <v>784</v>
      </c>
      <c r="O43" s="269" t="s">
        <v>1791</v>
      </c>
    </row>
    <row r="44" spans="1:15" ht="21" customHeight="1" x14ac:dyDescent="0.7">
      <c r="A44" s="112">
        <f t="shared" si="1"/>
        <v>39</v>
      </c>
      <c r="B44" s="269"/>
      <c r="C44" s="269"/>
      <c r="D44" s="269"/>
      <c r="E44" s="269"/>
      <c r="F44" s="269"/>
      <c r="G44" s="269"/>
      <c r="H44" s="269"/>
      <c r="I44" s="273" t="s">
        <v>494</v>
      </c>
      <c r="J44" s="272" t="s">
        <v>495</v>
      </c>
      <c r="K44" s="272" t="s">
        <v>984</v>
      </c>
      <c r="L44" s="269" t="s">
        <v>724</v>
      </c>
      <c r="M44" s="269"/>
      <c r="N44" s="269" t="s">
        <v>739</v>
      </c>
      <c r="O44" s="269" t="s">
        <v>1791</v>
      </c>
    </row>
    <row r="45" spans="1:15" ht="21" customHeight="1" x14ac:dyDescent="0.7">
      <c r="A45" s="112">
        <f t="shared" si="1"/>
        <v>40</v>
      </c>
      <c r="B45" s="269"/>
      <c r="C45" s="269"/>
      <c r="D45" s="269"/>
      <c r="E45" s="269"/>
      <c r="F45" s="269"/>
      <c r="G45" s="269"/>
      <c r="H45" s="269"/>
      <c r="I45" s="273" t="s">
        <v>496</v>
      </c>
      <c r="J45" s="272" t="s">
        <v>497</v>
      </c>
      <c r="K45" s="272" t="s">
        <v>987</v>
      </c>
      <c r="L45" s="269" t="s">
        <v>788</v>
      </c>
      <c r="M45" s="269" t="s">
        <v>1027</v>
      </c>
      <c r="N45" s="269" t="s">
        <v>1009</v>
      </c>
      <c r="O45" s="269" t="s">
        <v>1791</v>
      </c>
    </row>
    <row r="46" spans="1:15" ht="21" customHeight="1" x14ac:dyDescent="0.7">
      <c r="A46" s="112">
        <f t="shared" si="1"/>
        <v>41</v>
      </c>
      <c r="B46" s="269"/>
      <c r="C46" s="269"/>
      <c r="D46" s="269"/>
      <c r="E46" s="269"/>
      <c r="F46" s="269"/>
      <c r="G46" s="269"/>
      <c r="H46" s="269"/>
      <c r="I46" s="273" t="s">
        <v>498</v>
      </c>
      <c r="J46" s="272" t="s">
        <v>499</v>
      </c>
      <c r="K46" s="272" t="s">
        <v>991</v>
      </c>
      <c r="L46" s="269" t="s">
        <v>724</v>
      </c>
      <c r="M46" s="269"/>
      <c r="N46" s="269" t="s">
        <v>739</v>
      </c>
      <c r="O46" s="269" t="s">
        <v>1791</v>
      </c>
    </row>
    <row r="47" spans="1:15" ht="21" customHeight="1" x14ac:dyDescent="0.7">
      <c r="A47" s="112">
        <f t="shared" si="1"/>
        <v>42</v>
      </c>
      <c r="B47" s="269"/>
      <c r="C47" s="269"/>
      <c r="D47" s="269"/>
      <c r="E47" s="269"/>
      <c r="F47" s="269"/>
      <c r="G47" s="269"/>
      <c r="H47" s="269"/>
      <c r="I47" s="273" t="s">
        <v>500</v>
      </c>
      <c r="J47" s="272" t="s">
        <v>501</v>
      </c>
      <c r="K47" s="272" t="s">
        <v>994</v>
      </c>
      <c r="L47" s="269" t="s">
        <v>782</v>
      </c>
      <c r="M47" s="269" t="s">
        <v>783</v>
      </c>
      <c r="N47" s="269" t="s">
        <v>784</v>
      </c>
      <c r="O47" s="269" t="s">
        <v>1791</v>
      </c>
    </row>
    <row r="48" spans="1:15" ht="21" customHeight="1" x14ac:dyDescent="0.7">
      <c r="A48" s="112">
        <f t="shared" si="1"/>
        <v>43</v>
      </c>
      <c r="B48" s="269"/>
      <c r="C48" s="269"/>
      <c r="D48" s="269"/>
      <c r="E48" s="269"/>
      <c r="F48" s="269"/>
      <c r="G48" s="269"/>
      <c r="H48" s="269"/>
      <c r="I48" s="273" t="s">
        <v>502</v>
      </c>
      <c r="J48" s="272" t="s">
        <v>92</v>
      </c>
      <c r="K48" s="272" t="s">
        <v>998</v>
      </c>
      <c r="L48" s="269" t="s">
        <v>782</v>
      </c>
      <c r="M48" s="269" t="s">
        <v>783</v>
      </c>
      <c r="N48" s="269" t="s">
        <v>784</v>
      </c>
      <c r="O48" s="269" t="s">
        <v>1791</v>
      </c>
    </row>
    <row r="49" spans="1:15" ht="21" customHeight="1" x14ac:dyDescent="0.7">
      <c r="A49" s="112">
        <f t="shared" si="1"/>
        <v>44</v>
      </c>
      <c r="B49" s="269"/>
      <c r="C49" s="269"/>
      <c r="D49" s="269"/>
      <c r="E49" s="269"/>
      <c r="F49" s="269"/>
      <c r="G49" s="269"/>
      <c r="H49" s="269"/>
      <c r="I49" s="273" t="s">
        <v>503</v>
      </c>
      <c r="J49" s="272" t="s">
        <v>504</v>
      </c>
      <c r="K49" s="272" t="s">
        <v>1001</v>
      </c>
      <c r="L49" s="269" t="s">
        <v>724</v>
      </c>
      <c r="M49" s="269"/>
      <c r="N49" s="269" t="s">
        <v>739</v>
      </c>
      <c r="O49" s="269" t="s">
        <v>1791</v>
      </c>
    </row>
    <row r="50" spans="1:15" ht="21" customHeight="1" x14ac:dyDescent="0.7">
      <c r="A50" s="112">
        <f t="shared" si="1"/>
        <v>45</v>
      </c>
      <c r="B50" s="269"/>
      <c r="C50" s="269"/>
      <c r="D50" s="269"/>
      <c r="E50" s="269"/>
      <c r="F50" s="269"/>
      <c r="G50" s="269"/>
      <c r="H50" s="269"/>
      <c r="I50" s="273" t="s">
        <v>505</v>
      </c>
      <c r="J50" s="272" t="s">
        <v>506</v>
      </c>
      <c r="K50" s="272" t="s">
        <v>1059</v>
      </c>
      <c r="L50" s="269" t="s">
        <v>1239</v>
      </c>
      <c r="M50" s="269" t="s">
        <v>1240</v>
      </c>
      <c r="N50" s="269" t="s">
        <v>1241</v>
      </c>
      <c r="O50" s="269" t="s">
        <v>1792</v>
      </c>
    </row>
    <row r="51" spans="1:15" ht="21" customHeight="1" x14ac:dyDescent="0.7">
      <c r="A51" s="112">
        <f t="shared" si="1"/>
        <v>46</v>
      </c>
      <c r="B51" s="269"/>
      <c r="C51" s="269"/>
      <c r="D51" s="269"/>
      <c r="E51" s="269"/>
      <c r="F51" s="269"/>
      <c r="G51" s="269"/>
      <c r="H51" s="269"/>
      <c r="I51" s="273" t="s">
        <v>507</v>
      </c>
      <c r="J51" s="272" t="s">
        <v>508</v>
      </c>
      <c r="K51" s="272" t="s">
        <v>1062</v>
      </c>
      <c r="L51" s="269" t="s">
        <v>724</v>
      </c>
      <c r="M51" s="269"/>
      <c r="N51" s="269" t="s">
        <v>739</v>
      </c>
      <c r="O51" s="269" t="s">
        <v>1792</v>
      </c>
    </row>
    <row r="52" spans="1:15" ht="21" customHeight="1" x14ac:dyDescent="0.7">
      <c r="A52" s="112">
        <f t="shared" si="1"/>
        <v>47</v>
      </c>
      <c r="B52" s="269"/>
      <c r="C52" s="269"/>
      <c r="D52" s="269"/>
      <c r="E52" s="269"/>
      <c r="F52" s="269"/>
      <c r="G52" s="269"/>
      <c r="H52" s="269"/>
      <c r="I52" s="273" t="s">
        <v>513</v>
      </c>
      <c r="J52" s="272" t="s">
        <v>514</v>
      </c>
      <c r="K52" s="272" t="s">
        <v>1066</v>
      </c>
      <c r="L52" s="269" t="s">
        <v>724</v>
      </c>
      <c r="M52" s="269"/>
      <c r="N52" s="269" t="s">
        <v>739</v>
      </c>
      <c r="O52" s="269" t="s">
        <v>1792</v>
      </c>
    </row>
    <row r="53" spans="1:15" ht="21" customHeight="1" x14ac:dyDescent="0.7">
      <c r="A53" s="112">
        <f t="shared" si="1"/>
        <v>48</v>
      </c>
      <c r="B53" s="269"/>
      <c r="C53" s="269"/>
      <c r="D53" s="269"/>
      <c r="E53" s="269"/>
      <c r="F53" s="269"/>
      <c r="G53" s="269"/>
      <c r="H53" s="269"/>
      <c r="I53" s="273" t="s">
        <v>515</v>
      </c>
      <c r="J53" s="272" t="s">
        <v>516</v>
      </c>
      <c r="K53" s="272" t="s">
        <v>1070</v>
      </c>
      <c r="L53" s="269" t="s">
        <v>724</v>
      </c>
      <c r="M53" s="269"/>
      <c r="N53" s="269" t="s">
        <v>739</v>
      </c>
      <c r="O53" s="269" t="s">
        <v>1792</v>
      </c>
    </row>
    <row r="54" spans="1:15" ht="21" customHeight="1" x14ac:dyDescent="0.7">
      <c r="A54" s="112">
        <f t="shared" si="1"/>
        <v>49</v>
      </c>
      <c r="B54" s="269"/>
      <c r="C54" s="269"/>
      <c r="D54" s="269"/>
      <c r="E54" s="269"/>
      <c r="F54" s="269"/>
      <c r="G54" s="269"/>
      <c r="H54" s="269"/>
      <c r="I54" s="273" t="s">
        <v>517</v>
      </c>
      <c r="J54" s="272" t="s">
        <v>518</v>
      </c>
      <c r="K54" s="272" t="s">
        <v>1074</v>
      </c>
      <c r="L54" s="269" t="s">
        <v>724</v>
      </c>
      <c r="M54" s="269"/>
      <c r="N54" s="269" t="s">
        <v>739</v>
      </c>
      <c r="O54" s="269" t="s">
        <v>1792</v>
      </c>
    </row>
    <row r="55" spans="1:15" ht="21" customHeight="1" x14ac:dyDescent="0.7">
      <c r="A55" s="112">
        <f t="shared" si="1"/>
        <v>50</v>
      </c>
      <c r="B55" s="269"/>
      <c r="C55" s="269"/>
      <c r="D55" s="269"/>
      <c r="E55" s="269"/>
      <c r="F55" s="269"/>
      <c r="G55" s="269"/>
      <c r="H55" s="269"/>
      <c r="I55" s="273" t="s">
        <v>523</v>
      </c>
      <c r="J55" s="272" t="s">
        <v>524</v>
      </c>
      <c r="K55" s="272" t="s">
        <v>1077</v>
      </c>
      <c r="L55" s="269" t="s">
        <v>724</v>
      </c>
      <c r="M55" s="269"/>
      <c r="N55" s="269" t="s">
        <v>739</v>
      </c>
      <c r="O55" s="269" t="s">
        <v>1792</v>
      </c>
    </row>
    <row r="56" spans="1:15" ht="21" customHeight="1" x14ac:dyDescent="0.7">
      <c r="A56" s="112">
        <f t="shared" si="1"/>
        <v>51</v>
      </c>
      <c r="B56" s="269"/>
      <c r="C56" s="269"/>
      <c r="D56" s="269"/>
      <c r="E56" s="269"/>
      <c r="F56" s="269"/>
      <c r="G56" s="269"/>
      <c r="H56" s="269"/>
      <c r="I56" s="273" t="s">
        <v>526</v>
      </c>
      <c r="J56" s="272" t="s">
        <v>527</v>
      </c>
      <c r="K56" s="272" t="s">
        <v>1080</v>
      </c>
      <c r="L56" s="269" t="s">
        <v>788</v>
      </c>
      <c r="M56" s="269" t="s">
        <v>1244</v>
      </c>
      <c r="N56" s="269" t="s">
        <v>1245</v>
      </c>
      <c r="O56" s="269" t="s">
        <v>1792</v>
      </c>
    </row>
    <row r="57" spans="1:15" ht="21" customHeight="1" x14ac:dyDescent="0.7">
      <c r="A57" s="112">
        <f t="shared" si="1"/>
        <v>52</v>
      </c>
      <c r="B57" s="269"/>
      <c r="C57" s="269"/>
      <c r="D57" s="269"/>
      <c r="E57" s="269"/>
      <c r="F57" s="269"/>
      <c r="G57" s="269"/>
      <c r="H57" s="269"/>
      <c r="I57" s="273" t="s">
        <v>529</v>
      </c>
      <c r="J57" s="272" t="s">
        <v>530</v>
      </c>
      <c r="K57" s="272" t="s">
        <v>1084</v>
      </c>
      <c r="L57" s="269" t="s">
        <v>1246</v>
      </c>
      <c r="M57" s="269" t="s">
        <v>1247</v>
      </c>
      <c r="N57" s="269" t="s">
        <v>1248</v>
      </c>
      <c r="O57" s="269" t="s">
        <v>1792</v>
      </c>
    </row>
    <row r="58" spans="1:15" ht="21" customHeight="1" x14ac:dyDescent="0.7">
      <c r="A58" s="112">
        <f t="shared" si="1"/>
        <v>53</v>
      </c>
      <c r="B58" s="269"/>
      <c r="C58" s="269"/>
      <c r="D58" s="269"/>
      <c r="E58" s="269"/>
      <c r="F58" s="269"/>
      <c r="G58" s="269"/>
      <c r="H58" s="269"/>
      <c r="I58" s="273" t="s">
        <v>531</v>
      </c>
      <c r="J58" s="272" t="s">
        <v>532</v>
      </c>
      <c r="K58" s="272" t="s">
        <v>1088</v>
      </c>
      <c r="L58" s="269" t="s">
        <v>1246</v>
      </c>
      <c r="M58" s="269" t="s">
        <v>1247</v>
      </c>
      <c r="N58" s="269" t="s">
        <v>1248</v>
      </c>
      <c r="O58" s="269" t="s">
        <v>1792</v>
      </c>
    </row>
    <row r="59" spans="1:15" ht="21" customHeight="1" x14ac:dyDescent="0.7">
      <c r="A59" s="112">
        <f t="shared" si="1"/>
        <v>54</v>
      </c>
      <c r="B59" s="269"/>
      <c r="C59" s="269"/>
      <c r="D59" s="269"/>
      <c r="E59" s="269"/>
      <c r="F59" s="269"/>
      <c r="G59" s="269"/>
      <c r="H59" s="269"/>
      <c r="I59" s="273" t="s">
        <v>537</v>
      </c>
      <c r="J59" s="272" t="s">
        <v>538</v>
      </c>
      <c r="K59" s="272" t="s">
        <v>1093</v>
      </c>
      <c r="L59" s="269" t="s">
        <v>1239</v>
      </c>
      <c r="M59" s="269" t="s">
        <v>1250</v>
      </c>
      <c r="N59" s="269" t="s">
        <v>796</v>
      </c>
      <c r="O59" s="269" t="s">
        <v>1792</v>
      </c>
    </row>
    <row r="60" spans="1:15" ht="21" customHeight="1" x14ac:dyDescent="0.7">
      <c r="A60" s="112">
        <f t="shared" si="1"/>
        <v>55</v>
      </c>
      <c r="B60" s="269"/>
      <c r="C60" s="269"/>
      <c r="D60" s="269"/>
      <c r="E60" s="269"/>
      <c r="F60" s="269"/>
      <c r="G60" s="269"/>
      <c r="H60" s="269"/>
      <c r="I60" s="273" t="s">
        <v>540</v>
      </c>
      <c r="J60" s="272" t="s">
        <v>541</v>
      </c>
      <c r="K60" s="272" t="s">
        <v>1097</v>
      </c>
      <c r="L60" s="269" t="s">
        <v>724</v>
      </c>
      <c r="M60" s="269"/>
      <c r="N60" s="269" t="s">
        <v>739</v>
      </c>
      <c r="O60" s="269" t="s">
        <v>1792</v>
      </c>
    </row>
    <row r="61" spans="1:15" ht="21" customHeight="1" x14ac:dyDescent="0.7">
      <c r="A61" s="112">
        <f t="shared" si="1"/>
        <v>56</v>
      </c>
      <c r="B61" s="269"/>
      <c r="C61" s="269"/>
      <c r="D61" s="269"/>
      <c r="E61" s="269"/>
      <c r="F61" s="269"/>
      <c r="G61" s="269"/>
      <c r="H61" s="269"/>
      <c r="I61" s="273" t="s">
        <v>543</v>
      </c>
      <c r="J61" s="272" t="s">
        <v>544</v>
      </c>
      <c r="K61" s="272" t="s">
        <v>1101</v>
      </c>
      <c r="L61" s="269" t="s">
        <v>1246</v>
      </c>
      <c r="M61" s="269" t="s">
        <v>1253</v>
      </c>
      <c r="N61" s="269" t="s">
        <v>1241</v>
      </c>
      <c r="O61" s="269" t="s">
        <v>1792</v>
      </c>
    </row>
    <row r="62" spans="1:15" ht="21" customHeight="1" x14ac:dyDescent="0.7">
      <c r="A62" s="112">
        <f t="shared" si="1"/>
        <v>57</v>
      </c>
      <c r="B62" s="269"/>
      <c r="C62" s="269"/>
      <c r="D62" s="269"/>
      <c r="E62" s="269"/>
      <c r="F62" s="269"/>
      <c r="G62" s="269"/>
      <c r="H62" s="269"/>
      <c r="I62" s="273" t="s">
        <v>549</v>
      </c>
      <c r="J62" s="272" t="s">
        <v>550</v>
      </c>
      <c r="K62" s="272" t="s">
        <v>1105</v>
      </c>
      <c r="L62" s="269" t="s">
        <v>1246</v>
      </c>
      <c r="M62" s="269" t="s">
        <v>1253</v>
      </c>
      <c r="N62" s="269" t="s">
        <v>1241</v>
      </c>
      <c r="O62" s="269" t="s">
        <v>1792</v>
      </c>
    </row>
    <row r="63" spans="1:15" ht="21" customHeight="1" x14ac:dyDescent="0.7">
      <c r="A63" s="112">
        <f t="shared" si="1"/>
        <v>58</v>
      </c>
      <c r="B63" s="269"/>
      <c r="C63" s="269"/>
      <c r="D63" s="269"/>
      <c r="E63" s="269"/>
      <c r="F63" s="269"/>
      <c r="G63" s="269"/>
      <c r="H63" s="269"/>
      <c r="I63" s="273" t="s">
        <v>552</v>
      </c>
      <c r="J63" s="272" t="s">
        <v>553</v>
      </c>
      <c r="K63" s="272" t="s">
        <v>1109</v>
      </c>
      <c r="L63" s="269" t="s">
        <v>1239</v>
      </c>
      <c r="M63" s="269" t="s">
        <v>1240</v>
      </c>
      <c r="N63" s="269" t="s">
        <v>1241</v>
      </c>
      <c r="O63" s="269" t="s">
        <v>1792</v>
      </c>
    </row>
    <row r="64" spans="1:15" ht="21" customHeight="1" x14ac:dyDescent="0.7">
      <c r="A64" s="112">
        <f t="shared" si="1"/>
        <v>59</v>
      </c>
      <c r="B64" s="269"/>
      <c r="C64" s="269"/>
      <c r="D64" s="269"/>
      <c r="E64" s="269"/>
      <c r="F64" s="269"/>
      <c r="G64" s="269"/>
      <c r="H64" s="269"/>
      <c r="I64" s="273" t="s">
        <v>564</v>
      </c>
      <c r="J64" s="272" t="s">
        <v>565</v>
      </c>
      <c r="K64" s="272" t="s">
        <v>1113</v>
      </c>
      <c r="L64" s="269" t="s">
        <v>1239</v>
      </c>
      <c r="M64" s="269" t="s">
        <v>1240</v>
      </c>
      <c r="N64" s="269" t="s">
        <v>1241</v>
      </c>
      <c r="O64" s="269" t="s">
        <v>1792</v>
      </c>
    </row>
    <row r="65" spans="1:15" ht="21" customHeight="1" x14ac:dyDescent="0.7">
      <c r="A65" s="112">
        <f t="shared" si="1"/>
        <v>60</v>
      </c>
      <c r="B65" s="269"/>
      <c r="C65" s="269"/>
      <c r="D65" s="269"/>
      <c r="E65" s="269"/>
      <c r="F65" s="269"/>
      <c r="G65" s="269"/>
      <c r="H65" s="269"/>
      <c r="I65" s="273" t="s">
        <v>569</v>
      </c>
      <c r="J65" s="272" t="s">
        <v>570</v>
      </c>
      <c r="K65" s="272" t="s">
        <v>1117</v>
      </c>
      <c r="L65" s="269" t="s">
        <v>1239</v>
      </c>
      <c r="M65" s="269" t="s">
        <v>1240</v>
      </c>
      <c r="N65" s="269" t="s">
        <v>1241</v>
      </c>
      <c r="O65" s="269" t="s">
        <v>1792</v>
      </c>
    </row>
    <row r="66" spans="1:15" ht="21" customHeight="1" x14ac:dyDescent="0.7">
      <c r="A66" s="112">
        <f t="shared" si="1"/>
        <v>61</v>
      </c>
      <c r="B66" s="269"/>
      <c r="C66" s="269"/>
      <c r="D66" s="269"/>
      <c r="E66" s="269"/>
      <c r="F66" s="269"/>
      <c r="G66" s="269"/>
      <c r="H66" s="269"/>
      <c r="I66" s="273" t="s">
        <v>571</v>
      </c>
      <c r="J66" s="272" t="s">
        <v>572</v>
      </c>
      <c r="K66" s="272" t="s">
        <v>1120</v>
      </c>
      <c r="L66" s="269" t="s">
        <v>1239</v>
      </c>
      <c r="M66" s="269" t="s">
        <v>1240</v>
      </c>
      <c r="N66" s="269" t="s">
        <v>1241</v>
      </c>
      <c r="O66" s="269" t="s">
        <v>1792</v>
      </c>
    </row>
    <row r="67" spans="1:15" ht="21" customHeight="1" x14ac:dyDescent="0.7">
      <c r="A67" s="112">
        <f t="shared" si="1"/>
        <v>62</v>
      </c>
      <c r="B67" s="269"/>
      <c r="C67" s="269"/>
      <c r="D67" s="269"/>
      <c r="E67" s="269"/>
      <c r="F67" s="269"/>
      <c r="G67" s="269"/>
      <c r="H67" s="269"/>
      <c r="I67" s="273" t="s">
        <v>579</v>
      </c>
      <c r="J67" s="272" t="s">
        <v>580</v>
      </c>
      <c r="K67" s="272" t="s">
        <v>1124</v>
      </c>
      <c r="L67" s="269" t="s">
        <v>1239</v>
      </c>
      <c r="M67" s="269" t="s">
        <v>1240</v>
      </c>
      <c r="N67" s="269" t="s">
        <v>1241</v>
      </c>
      <c r="O67" s="269" t="s">
        <v>1792</v>
      </c>
    </row>
    <row r="68" spans="1:15" ht="21" customHeight="1" x14ac:dyDescent="0.7">
      <c r="A68" s="112">
        <f t="shared" si="1"/>
        <v>63</v>
      </c>
      <c r="B68" s="269"/>
      <c r="C68" s="269"/>
      <c r="D68" s="269"/>
      <c r="E68" s="269"/>
      <c r="F68" s="269"/>
      <c r="G68" s="269"/>
      <c r="H68" s="269"/>
      <c r="I68" s="273" t="s">
        <v>591</v>
      </c>
      <c r="J68" s="272" t="s">
        <v>592</v>
      </c>
      <c r="K68" s="272" t="s">
        <v>1127</v>
      </c>
      <c r="L68" s="269" t="s">
        <v>724</v>
      </c>
      <c r="M68" s="269"/>
      <c r="N68" s="269" t="s">
        <v>739</v>
      </c>
      <c r="O68" s="269" t="s">
        <v>1792</v>
      </c>
    </row>
    <row r="69" spans="1:15" ht="21" customHeight="1" x14ac:dyDescent="0.7">
      <c r="A69" s="112">
        <f t="shared" si="1"/>
        <v>64</v>
      </c>
      <c r="B69" s="269"/>
      <c r="C69" s="269"/>
      <c r="D69" s="269"/>
      <c r="E69" s="269"/>
      <c r="F69" s="269"/>
      <c r="G69" s="269"/>
      <c r="H69" s="269"/>
      <c r="I69" s="273" t="s">
        <v>597</v>
      </c>
      <c r="J69" s="272" t="s">
        <v>606</v>
      </c>
      <c r="K69" s="272" t="s">
        <v>1130</v>
      </c>
      <c r="L69" s="269" t="s">
        <v>1239</v>
      </c>
      <c r="M69" s="269" t="s">
        <v>1240</v>
      </c>
      <c r="N69" s="269" t="s">
        <v>1241</v>
      </c>
      <c r="O69" s="269" t="s">
        <v>1792</v>
      </c>
    </row>
    <row r="70" spans="1:15" ht="21" customHeight="1" x14ac:dyDescent="0.7">
      <c r="A70" s="112">
        <f t="shared" si="1"/>
        <v>65</v>
      </c>
      <c r="B70" s="269"/>
      <c r="C70" s="269"/>
      <c r="D70" s="269"/>
      <c r="E70" s="269"/>
      <c r="F70" s="269"/>
      <c r="G70" s="269"/>
      <c r="H70" s="269"/>
      <c r="I70" s="273" t="s">
        <v>600</v>
      </c>
      <c r="J70" s="272" t="s">
        <v>611</v>
      </c>
      <c r="K70" s="272" t="s">
        <v>1134</v>
      </c>
      <c r="L70" s="269" t="s">
        <v>1255</v>
      </c>
      <c r="M70" s="269" t="s">
        <v>1256</v>
      </c>
      <c r="N70" s="269" t="s">
        <v>1257</v>
      </c>
      <c r="O70" s="269" t="s">
        <v>1792</v>
      </c>
    </row>
    <row r="71" spans="1:15" ht="21" customHeight="1" x14ac:dyDescent="0.7">
      <c r="A71" s="112">
        <f t="shared" ref="A71:A134" si="2">ROW()-5</f>
        <v>66</v>
      </c>
      <c r="B71" s="269"/>
      <c r="C71" s="269"/>
      <c r="D71" s="269"/>
      <c r="E71" s="269"/>
      <c r="F71" s="269"/>
      <c r="G71" s="269"/>
      <c r="H71" s="269"/>
      <c r="I71" s="273" t="s">
        <v>603</v>
      </c>
      <c r="J71" s="272" t="s">
        <v>622</v>
      </c>
      <c r="K71" s="272" t="s">
        <v>1137</v>
      </c>
      <c r="L71" s="269" t="s">
        <v>1239</v>
      </c>
      <c r="M71" s="269" t="s">
        <v>1258</v>
      </c>
      <c r="N71" s="269" t="s">
        <v>795</v>
      </c>
      <c r="O71" s="269" t="s">
        <v>1792</v>
      </c>
    </row>
    <row r="72" spans="1:15" ht="21" customHeight="1" x14ac:dyDescent="0.7">
      <c r="A72" s="112">
        <f t="shared" si="2"/>
        <v>67</v>
      </c>
      <c r="B72" s="269"/>
      <c r="C72" s="269"/>
      <c r="D72" s="269"/>
      <c r="E72" s="269"/>
      <c r="F72" s="269"/>
      <c r="G72" s="269"/>
      <c r="H72" s="269"/>
      <c r="I72" s="273" t="s">
        <v>624</v>
      </c>
      <c r="J72" s="272" t="s">
        <v>625</v>
      </c>
      <c r="K72" s="272" t="s">
        <v>1141</v>
      </c>
      <c r="L72" s="269" t="s">
        <v>782</v>
      </c>
      <c r="M72" s="269" t="s">
        <v>783</v>
      </c>
      <c r="N72" s="269" t="s">
        <v>784</v>
      </c>
      <c r="O72" s="269" t="s">
        <v>1792</v>
      </c>
    </row>
    <row r="73" spans="1:15" ht="21" customHeight="1" x14ac:dyDescent="0.7">
      <c r="A73" s="112">
        <f t="shared" si="2"/>
        <v>68</v>
      </c>
      <c r="B73" s="269"/>
      <c r="C73" s="269"/>
      <c r="D73" s="269"/>
      <c r="E73" s="269"/>
      <c r="F73" s="269"/>
      <c r="G73" s="269"/>
      <c r="H73" s="269"/>
      <c r="I73" s="273" t="s">
        <v>626</v>
      </c>
      <c r="J73" s="272" t="s">
        <v>627</v>
      </c>
      <c r="K73" s="272" t="s">
        <v>1145</v>
      </c>
      <c r="L73" s="269" t="s">
        <v>782</v>
      </c>
      <c r="M73" s="269" t="s">
        <v>783</v>
      </c>
      <c r="N73" s="269" t="s">
        <v>784</v>
      </c>
      <c r="O73" s="269" t="s">
        <v>1792</v>
      </c>
    </row>
    <row r="74" spans="1:15" ht="21" customHeight="1" x14ac:dyDescent="0.7">
      <c r="A74" s="112">
        <f t="shared" si="2"/>
        <v>69</v>
      </c>
      <c r="B74" s="269"/>
      <c r="C74" s="269"/>
      <c r="D74" s="269"/>
      <c r="E74" s="269"/>
      <c r="F74" s="269"/>
      <c r="G74" s="269"/>
      <c r="H74" s="269"/>
      <c r="I74" s="273" t="s">
        <v>630</v>
      </c>
      <c r="J74" s="272" t="s">
        <v>631</v>
      </c>
      <c r="K74" s="272" t="s">
        <v>1149</v>
      </c>
      <c r="L74" s="269" t="s">
        <v>1246</v>
      </c>
      <c r="M74" s="269" t="s">
        <v>1261</v>
      </c>
      <c r="N74" s="269" t="s">
        <v>1262</v>
      </c>
      <c r="O74" s="269" t="s">
        <v>1792</v>
      </c>
    </row>
    <row r="75" spans="1:15" ht="21" customHeight="1" x14ac:dyDescent="0.7">
      <c r="A75" s="112">
        <f t="shared" si="2"/>
        <v>70</v>
      </c>
      <c r="B75" s="269"/>
      <c r="C75" s="269"/>
      <c r="D75" s="269"/>
      <c r="E75" s="269"/>
      <c r="F75" s="269"/>
      <c r="G75" s="269"/>
      <c r="H75" s="269"/>
      <c r="I75" s="273" t="s">
        <v>633</v>
      </c>
      <c r="J75" s="272" t="s">
        <v>634</v>
      </c>
      <c r="K75" s="272" t="s">
        <v>1154</v>
      </c>
      <c r="L75" s="269" t="s">
        <v>724</v>
      </c>
      <c r="M75" s="269"/>
      <c r="N75" s="269" t="s">
        <v>739</v>
      </c>
      <c r="O75" s="269" t="s">
        <v>1792</v>
      </c>
    </row>
    <row r="76" spans="1:15" ht="21" customHeight="1" x14ac:dyDescent="0.7">
      <c r="A76" s="112">
        <f t="shared" si="2"/>
        <v>71</v>
      </c>
      <c r="B76" s="269"/>
      <c r="C76" s="269"/>
      <c r="D76" s="269"/>
      <c r="E76" s="269"/>
      <c r="F76" s="269"/>
      <c r="G76" s="269"/>
      <c r="H76" s="269"/>
      <c r="I76" s="273" t="s">
        <v>635</v>
      </c>
      <c r="J76" s="272" t="s">
        <v>636</v>
      </c>
      <c r="K76" s="272" t="s">
        <v>1157</v>
      </c>
      <c r="L76" s="269" t="s">
        <v>788</v>
      </c>
      <c r="M76" s="269" t="s">
        <v>1244</v>
      </c>
      <c r="N76" s="269" t="s">
        <v>1245</v>
      </c>
      <c r="O76" s="269" t="s">
        <v>1792</v>
      </c>
    </row>
    <row r="77" spans="1:15" ht="21" customHeight="1" x14ac:dyDescent="0.7">
      <c r="A77" s="112">
        <f t="shared" si="2"/>
        <v>72</v>
      </c>
      <c r="B77" s="269"/>
      <c r="C77" s="269"/>
      <c r="D77" s="269"/>
      <c r="E77" s="269"/>
      <c r="F77" s="269"/>
      <c r="G77" s="269"/>
      <c r="H77" s="269"/>
      <c r="I77" s="273" t="s">
        <v>637</v>
      </c>
      <c r="J77" s="272" t="s">
        <v>638</v>
      </c>
      <c r="K77" s="272" t="s">
        <v>1161</v>
      </c>
      <c r="L77" s="269" t="s">
        <v>788</v>
      </c>
      <c r="M77" s="269" t="s">
        <v>1244</v>
      </c>
      <c r="N77" s="269" t="s">
        <v>1245</v>
      </c>
      <c r="O77" s="269" t="s">
        <v>1792</v>
      </c>
    </row>
    <row r="78" spans="1:15" ht="21" customHeight="1" x14ac:dyDescent="0.7">
      <c r="A78" s="112">
        <f t="shared" si="2"/>
        <v>73</v>
      </c>
      <c r="B78" s="269"/>
      <c r="C78" s="269"/>
      <c r="D78" s="269"/>
      <c r="E78" s="269"/>
      <c r="F78" s="269"/>
      <c r="G78" s="269"/>
      <c r="H78" s="269"/>
      <c r="I78" s="273" t="s">
        <v>639</v>
      </c>
      <c r="J78" s="272" t="s">
        <v>640</v>
      </c>
      <c r="K78" s="272" t="s">
        <v>1165</v>
      </c>
      <c r="L78" s="269" t="s">
        <v>788</v>
      </c>
      <c r="M78" s="269" t="s">
        <v>1244</v>
      </c>
      <c r="N78" s="269" t="s">
        <v>1245</v>
      </c>
      <c r="O78" s="269" t="s">
        <v>1792</v>
      </c>
    </row>
    <row r="79" spans="1:15" ht="21" customHeight="1" x14ac:dyDescent="0.7">
      <c r="A79" s="112">
        <f t="shared" si="2"/>
        <v>74</v>
      </c>
      <c r="B79" s="269"/>
      <c r="C79" s="269"/>
      <c r="D79" s="269"/>
      <c r="E79" s="269"/>
      <c r="F79" s="269"/>
      <c r="G79" s="269"/>
      <c r="H79" s="269"/>
      <c r="I79" s="273" t="s">
        <v>647</v>
      </c>
      <c r="J79" s="272" t="s">
        <v>648</v>
      </c>
      <c r="K79" s="272" t="s">
        <v>1167</v>
      </c>
      <c r="L79" s="269" t="s">
        <v>724</v>
      </c>
      <c r="M79" s="269"/>
      <c r="N79" s="269" t="s">
        <v>739</v>
      </c>
      <c r="O79" s="269" t="s">
        <v>1792</v>
      </c>
    </row>
    <row r="80" spans="1:15" ht="21" customHeight="1" x14ac:dyDescent="0.7">
      <c r="A80" s="112">
        <f t="shared" si="2"/>
        <v>75</v>
      </c>
      <c r="B80" s="269"/>
      <c r="C80" s="269"/>
      <c r="D80" s="269"/>
      <c r="E80" s="269"/>
      <c r="F80" s="269"/>
      <c r="G80" s="269"/>
      <c r="H80" s="269"/>
      <c r="I80" s="273" t="s">
        <v>650</v>
      </c>
      <c r="J80" s="272" t="s">
        <v>651</v>
      </c>
      <c r="K80" s="272" t="s">
        <v>1170</v>
      </c>
      <c r="L80" s="269" t="s">
        <v>724</v>
      </c>
      <c r="M80" s="269"/>
      <c r="N80" s="269" t="s">
        <v>739</v>
      </c>
      <c r="O80" s="269" t="s">
        <v>1792</v>
      </c>
    </row>
    <row r="81" spans="1:15" ht="21" customHeight="1" x14ac:dyDescent="0.7">
      <c r="A81" s="112">
        <f t="shared" si="2"/>
        <v>76</v>
      </c>
      <c r="B81" s="269"/>
      <c r="C81" s="269"/>
      <c r="D81" s="269"/>
      <c r="E81" s="269"/>
      <c r="F81" s="269"/>
      <c r="G81" s="269"/>
      <c r="H81" s="269"/>
      <c r="I81" s="273" t="s">
        <v>653</v>
      </c>
      <c r="J81" s="272" t="s">
        <v>654</v>
      </c>
      <c r="K81" s="272" t="s">
        <v>1173</v>
      </c>
      <c r="L81" s="269" t="s">
        <v>724</v>
      </c>
      <c r="M81" s="269"/>
      <c r="N81" s="269" t="s">
        <v>739</v>
      </c>
      <c r="O81" s="269" t="s">
        <v>1792</v>
      </c>
    </row>
    <row r="82" spans="1:15" ht="21" customHeight="1" x14ac:dyDescent="0.7">
      <c r="A82" s="112">
        <f t="shared" si="2"/>
        <v>77</v>
      </c>
      <c r="B82" s="269"/>
      <c r="C82" s="269"/>
      <c r="D82" s="269"/>
      <c r="E82" s="269"/>
      <c r="F82" s="269"/>
      <c r="G82" s="269"/>
      <c r="H82" s="269"/>
      <c r="I82" s="273" t="s">
        <v>656</v>
      </c>
      <c r="J82" s="272" t="s">
        <v>657</v>
      </c>
      <c r="K82" s="272" t="s">
        <v>1176</v>
      </c>
      <c r="L82" s="269" t="s">
        <v>724</v>
      </c>
      <c r="M82" s="269"/>
      <c r="N82" s="269" t="s">
        <v>739</v>
      </c>
      <c r="O82" s="269" t="s">
        <v>1792</v>
      </c>
    </row>
    <row r="83" spans="1:15" ht="21" customHeight="1" x14ac:dyDescent="0.7">
      <c r="A83" s="112">
        <f t="shared" si="2"/>
        <v>78</v>
      </c>
      <c r="B83" s="269"/>
      <c r="C83" s="269"/>
      <c r="D83" s="269"/>
      <c r="E83" s="269"/>
      <c r="F83" s="269"/>
      <c r="G83" s="269"/>
      <c r="H83" s="269"/>
      <c r="I83" s="273" t="s">
        <v>684</v>
      </c>
      <c r="J83" s="272" t="s">
        <v>685</v>
      </c>
      <c r="K83" s="274" t="s">
        <v>1179</v>
      </c>
      <c r="L83" s="269" t="s">
        <v>1239</v>
      </c>
      <c r="M83" s="269" t="s">
        <v>1240</v>
      </c>
      <c r="N83" s="269" t="s">
        <v>1241</v>
      </c>
      <c r="O83" s="269" t="s">
        <v>1792</v>
      </c>
    </row>
    <row r="84" spans="1:15" ht="21" customHeight="1" x14ac:dyDescent="0.7">
      <c r="A84" s="112">
        <f t="shared" si="2"/>
        <v>79</v>
      </c>
      <c r="B84" s="269"/>
      <c r="C84" s="269"/>
      <c r="D84" s="269"/>
      <c r="E84" s="269"/>
      <c r="F84" s="269"/>
      <c r="G84" s="269"/>
      <c r="H84" s="269"/>
      <c r="I84" s="273" t="s">
        <v>687</v>
      </c>
      <c r="J84" s="272" t="s">
        <v>688</v>
      </c>
      <c r="K84" s="272" t="s">
        <v>1184</v>
      </c>
      <c r="L84" s="269" t="s">
        <v>1266</v>
      </c>
      <c r="M84" s="269" t="s">
        <v>1267</v>
      </c>
      <c r="N84" s="269" t="s">
        <v>1268</v>
      </c>
      <c r="O84" s="269" t="s">
        <v>1792</v>
      </c>
    </row>
    <row r="85" spans="1:15" ht="21" customHeight="1" x14ac:dyDescent="0.7">
      <c r="A85" s="112">
        <f t="shared" si="2"/>
        <v>80</v>
      </c>
      <c r="B85" s="269"/>
      <c r="C85" s="269"/>
      <c r="D85" s="269"/>
      <c r="E85" s="269"/>
      <c r="F85" s="269"/>
      <c r="G85" s="269"/>
      <c r="H85" s="269"/>
      <c r="I85" s="273" t="s">
        <v>689</v>
      </c>
      <c r="J85" s="272" t="s">
        <v>690</v>
      </c>
      <c r="K85" s="272" t="s">
        <v>1187</v>
      </c>
      <c r="L85" s="269" t="s">
        <v>1266</v>
      </c>
      <c r="M85" s="269" t="s">
        <v>1267</v>
      </c>
      <c r="N85" s="269" t="s">
        <v>1268</v>
      </c>
      <c r="O85" s="269" t="s">
        <v>1792</v>
      </c>
    </row>
    <row r="86" spans="1:15" ht="21" customHeight="1" x14ac:dyDescent="0.7">
      <c r="A86" s="112">
        <f t="shared" si="2"/>
        <v>81</v>
      </c>
      <c r="B86" s="269"/>
      <c r="C86" s="269"/>
      <c r="D86" s="269"/>
      <c r="E86" s="269"/>
      <c r="F86" s="269"/>
      <c r="G86" s="269"/>
      <c r="H86" s="269"/>
      <c r="I86" s="273"/>
      <c r="J86" s="272"/>
      <c r="K86" s="272" t="s">
        <v>1191</v>
      </c>
      <c r="L86" s="269" t="s">
        <v>724</v>
      </c>
      <c r="M86" s="269"/>
      <c r="N86" s="269" t="s">
        <v>739</v>
      </c>
      <c r="O86" s="269" t="s">
        <v>1792</v>
      </c>
    </row>
    <row r="87" spans="1:15" ht="21" customHeight="1" x14ac:dyDescent="0.7">
      <c r="A87" s="112">
        <f t="shared" si="2"/>
        <v>82</v>
      </c>
      <c r="B87" s="269"/>
      <c r="C87" s="269"/>
      <c r="D87" s="269"/>
      <c r="E87" s="269"/>
      <c r="F87" s="269"/>
      <c r="G87" s="269"/>
      <c r="H87" s="269"/>
      <c r="I87" s="273"/>
      <c r="J87" s="272"/>
      <c r="K87" s="272" t="s">
        <v>1198</v>
      </c>
      <c r="L87" s="269">
        <v>0</v>
      </c>
      <c r="M87" s="269" t="s">
        <v>1269</v>
      </c>
      <c r="N87" s="269" t="s">
        <v>1270</v>
      </c>
      <c r="O87" s="269" t="s">
        <v>1792</v>
      </c>
    </row>
    <row r="88" spans="1:15" ht="21" customHeight="1" x14ac:dyDescent="0.7">
      <c r="A88" s="112">
        <f t="shared" si="2"/>
        <v>83</v>
      </c>
      <c r="B88" s="269"/>
      <c r="C88" s="269"/>
      <c r="D88" s="269"/>
      <c r="E88" s="269"/>
      <c r="F88" s="269"/>
      <c r="G88" s="269"/>
      <c r="H88" s="269"/>
      <c r="I88" s="273"/>
      <c r="J88" s="272"/>
      <c r="K88" s="274" t="s">
        <v>1201</v>
      </c>
      <c r="L88" s="269" t="s">
        <v>1271</v>
      </c>
      <c r="M88" s="269" t="s">
        <v>1272</v>
      </c>
      <c r="N88" s="269" t="s">
        <v>1273</v>
      </c>
      <c r="O88" s="269" t="s">
        <v>1792</v>
      </c>
    </row>
    <row r="89" spans="1:15" ht="21" customHeight="1" x14ac:dyDescent="0.7">
      <c r="A89" s="112">
        <f t="shared" si="2"/>
        <v>84</v>
      </c>
      <c r="B89" s="269"/>
      <c r="C89" s="269"/>
      <c r="D89" s="269"/>
      <c r="E89" s="269"/>
      <c r="F89" s="269"/>
      <c r="G89" s="269"/>
      <c r="H89" s="269"/>
      <c r="I89" s="273"/>
      <c r="J89" s="272"/>
      <c r="K89" s="272" t="s">
        <v>1204</v>
      </c>
      <c r="L89" s="269" t="s">
        <v>1274</v>
      </c>
      <c r="M89" s="269" t="s">
        <v>1275</v>
      </c>
      <c r="N89" s="269" t="s">
        <v>1276</v>
      </c>
      <c r="O89" s="269" t="s">
        <v>1792</v>
      </c>
    </row>
    <row r="90" spans="1:15" ht="21" customHeight="1" x14ac:dyDescent="0.7">
      <c r="A90" s="112">
        <f t="shared" si="2"/>
        <v>85</v>
      </c>
      <c r="B90" s="269"/>
      <c r="C90" s="269"/>
      <c r="D90" s="269"/>
      <c r="E90" s="269"/>
      <c r="F90" s="269"/>
      <c r="G90" s="269"/>
      <c r="H90" s="269"/>
      <c r="I90" s="273"/>
      <c r="J90" s="272"/>
      <c r="K90" s="274" t="s">
        <v>1207</v>
      </c>
      <c r="L90" s="269" t="s">
        <v>1277</v>
      </c>
      <c r="M90" s="269" t="s">
        <v>1278</v>
      </c>
      <c r="N90" s="269">
        <v>0</v>
      </c>
      <c r="O90" s="269" t="s">
        <v>1792</v>
      </c>
    </row>
    <row r="91" spans="1:15" ht="21" customHeight="1" x14ac:dyDescent="0.7">
      <c r="A91" s="112">
        <f t="shared" si="2"/>
        <v>86</v>
      </c>
      <c r="B91" s="269"/>
      <c r="C91" s="269"/>
      <c r="D91" s="269"/>
      <c r="E91" s="269"/>
      <c r="F91" s="269"/>
      <c r="G91" s="269"/>
      <c r="H91" s="269"/>
      <c r="I91" s="273"/>
      <c r="J91" s="272"/>
      <c r="K91" s="274" t="s">
        <v>1209</v>
      </c>
      <c r="L91" s="269" t="s">
        <v>1279</v>
      </c>
      <c r="M91" s="269" t="s">
        <v>1280</v>
      </c>
      <c r="N91" s="269" t="s">
        <v>1281</v>
      </c>
      <c r="O91" s="269" t="s">
        <v>1792</v>
      </c>
    </row>
    <row r="92" spans="1:15" ht="21" customHeight="1" x14ac:dyDescent="0.7">
      <c r="A92" s="112">
        <f t="shared" si="2"/>
        <v>87</v>
      </c>
      <c r="B92" s="269"/>
      <c r="C92" s="269"/>
      <c r="D92" s="269"/>
      <c r="E92" s="269"/>
      <c r="F92" s="269"/>
      <c r="G92" s="269"/>
      <c r="H92" s="269"/>
      <c r="I92" s="273"/>
      <c r="J92" s="272"/>
      <c r="K92" s="274" t="s">
        <v>1212</v>
      </c>
      <c r="L92" s="269" t="s">
        <v>782</v>
      </c>
      <c r="M92" s="269" t="s">
        <v>783</v>
      </c>
      <c r="N92" s="269" t="s">
        <v>784</v>
      </c>
      <c r="O92" s="269" t="s">
        <v>1792</v>
      </c>
    </row>
    <row r="93" spans="1:15" ht="21" customHeight="1" x14ac:dyDescent="0.7">
      <c r="A93" s="112">
        <f t="shared" si="2"/>
        <v>88</v>
      </c>
      <c r="B93" s="269"/>
      <c r="C93" s="269"/>
      <c r="D93" s="269"/>
      <c r="E93" s="269"/>
      <c r="F93" s="269"/>
      <c r="G93" s="269"/>
      <c r="H93" s="269"/>
      <c r="I93" s="273"/>
      <c r="J93" s="272"/>
      <c r="K93" s="272" t="s">
        <v>1217</v>
      </c>
      <c r="L93" s="269" t="s">
        <v>1239</v>
      </c>
      <c r="M93" s="269" t="s">
        <v>1240</v>
      </c>
      <c r="N93" s="269" t="s">
        <v>1241</v>
      </c>
      <c r="O93" s="269" t="s">
        <v>1792</v>
      </c>
    </row>
    <row r="94" spans="1:15" ht="21" customHeight="1" x14ac:dyDescent="0.7">
      <c r="A94" s="112">
        <f t="shared" si="2"/>
        <v>89</v>
      </c>
      <c r="B94" s="269"/>
      <c r="C94" s="269"/>
      <c r="D94" s="269"/>
      <c r="E94" s="269"/>
      <c r="F94" s="269"/>
      <c r="G94" s="269"/>
      <c r="H94" s="269"/>
      <c r="I94" s="273"/>
      <c r="J94" s="272"/>
      <c r="K94" s="274" t="s">
        <v>1221</v>
      </c>
      <c r="L94" s="269" t="s">
        <v>1283</v>
      </c>
      <c r="M94" s="269" t="s">
        <v>1284</v>
      </c>
      <c r="N94" s="269" t="s">
        <v>1285</v>
      </c>
      <c r="O94" s="269" t="s">
        <v>1792</v>
      </c>
    </row>
    <row r="95" spans="1:15" ht="21" customHeight="1" x14ac:dyDescent="0.7">
      <c r="A95" s="112">
        <f t="shared" si="2"/>
        <v>90</v>
      </c>
      <c r="B95" s="269"/>
      <c r="C95" s="269"/>
      <c r="D95" s="269"/>
      <c r="E95" s="269"/>
      <c r="F95" s="269"/>
      <c r="G95" s="269"/>
      <c r="H95" s="269"/>
      <c r="I95" s="273"/>
      <c r="J95" s="272"/>
      <c r="K95" s="274" t="s">
        <v>1224</v>
      </c>
      <c r="L95" s="269" t="s">
        <v>765</v>
      </c>
      <c r="M95" s="269" t="s">
        <v>1069</v>
      </c>
      <c r="N95" s="269" t="s">
        <v>1286</v>
      </c>
      <c r="O95" s="269" t="s">
        <v>1792</v>
      </c>
    </row>
    <row r="96" spans="1:15" ht="21" customHeight="1" x14ac:dyDescent="0.7">
      <c r="A96" s="112">
        <f t="shared" si="2"/>
        <v>91</v>
      </c>
      <c r="B96" s="269"/>
      <c r="C96" s="269"/>
      <c r="D96" s="269"/>
      <c r="E96" s="269"/>
      <c r="F96" s="269"/>
      <c r="G96" s="269"/>
      <c r="H96" s="269"/>
      <c r="I96" s="273"/>
      <c r="J96" s="272"/>
      <c r="K96" s="274" t="s">
        <v>1227</v>
      </c>
      <c r="L96" s="269" t="s">
        <v>1245</v>
      </c>
      <c r="M96" s="269" t="s">
        <v>1287</v>
      </c>
      <c r="N96" s="269" t="s">
        <v>1288</v>
      </c>
      <c r="O96" s="269" t="s">
        <v>1792</v>
      </c>
    </row>
    <row r="97" spans="1:15" ht="21" customHeight="1" x14ac:dyDescent="0.7">
      <c r="A97" s="112">
        <f t="shared" si="2"/>
        <v>92</v>
      </c>
      <c r="B97" s="269"/>
      <c r="C97" s="269"/>
      <c r="D97" s="269"/>
      <c r="E97" s="269"/>
      <c r="F97" s="269"/>
      <c r="G97" s="269"/>
      <c r="H97" s="269"/>
      <c r="I97" s="273"/>
      <c r="J97" s="272"/>
      <c r="K97" s="274" t="s">
        <v>1231</v>
      </c>
      <c r="L97" s="269" t="s">
        <v>1239</v>
      </c>
      <c r="M97" s="269" t="s">
        <v>1240</v>
      </c>
      <c r="N97" s="269" t="s">
        <v>1241</v>
      </c>
      <c r="O97" s="269" t="s">
        <v>1792</v>
      </c>
    </row>
    <row r="98" spans="1:15" ht="21" customHeight="1" x14ac:dyDescent="0.7">
      <c r="A98" s="112">
        <f t="shared" si="2"/>
        <v>93</v>
      </c>
      <c r="B98" s="269"/>
      <c r="C98" s="269"/>
      <c r="D98" s="269"/>
      <c r="E98" s="269"/>
      <c r="F98" s="269"/>
      <c r="G98" s="269"/>
      <c r="H98" s="269"/>
      <c r="I98" s="273"/>
      <c r="J98" s="272"/>
      <c r="K98" s="274" t="s">
        <v>1235</v>
      </c>
      <c r="L98" s="269" t="s">
        <v>1283</v>
      </c>
      <c r="M98" s="269" t="s">
        <v>1284</v>
      </c>
      <c r="N98" s="269" t="s">
        <v>1285</v>
      </c>
      <c r="O98" s="269" t="s">
        <v>1792</v>
      </c>
    </row>
    <row r="99" spans="1:15" ht="21" customHeight="1" x14ac:dyDescent="0.7">
      <c r="A99" s="112">
        <f t="shared" si="2"/>
        <v>94</v>
      </c>
      <c r="B99" s="269"/>
      <c r="C99" s="269"/>
      <c r="D99" s="269"/>
      <c r="E99" s="269"/>
      <c r="F99" s="269"/>
      <c r="G99" s="269"/>
      <c r="H99" s="269"/>
      <c r="I99" s="273"/>
      <c r="J99" s="272"/>
      <c r="K99" s="274" t="s">
        <v>1238</v>
      </c>
      <c r="L99" s="269" t="s">
        <v>724</v>
      </c>
      <c r="M99" s="269"/>
      <c r="N99" s="269" t="s">
        <v>739</v>
      </c>
      <c r="O99" s="269" t="s">
        <v>1792</v>
      </c>
    </row>
    <row r="100" spans="1:15" ht="21" customHeight="1" x14ac:dyDescent="0.7">
      <c r="A100" s="112">
        <f t="shared" si="2"/>
        <v>95</v>
      </c>
      <c r="B100" s="269"/>
      <c r="C100" s="269"/>
      <c r="D100" s="269"/>
      <c r="E100" s="269"/>
      <c r="F100" s="269"/>
      <c r="G100" s="269"/>
      <c r="H100" s="269"/>
      <c r="I100" s="273"/>
      <c r="J100" s="272"/>
      <c r="K100" s="272" t="s">
        <v>1461</v>
      </c>
      <c r="L100" s="269" t="s">
        <v>1024</v>
      </c>
      <c r="M100" s="269" t="s">
        <v>1483</v>
      </c>
      <c r="N100" s="269" t="s">
        <v>1484</v>
      </c>
      <c r="O100" s="269" t="s">
        <v>1793</v>
      </c>
    </row>
    <row r="101" spans="1:15" ht="21" customHeight="1" x14ac:dyDescent="0.7">
      <c r="A101" s="112">
        <f t="shared" si="2"/>
        <v>96</v>
      </c>
      <c r="B101" s="269"/>
      <c r="C101" s="269"/>
      <c r="D101" s="269"/>
      <c r="E101" s="269"/>
      <c r="F101" s="269"/>
      <c r="G101" s="269"/>
      <c r="H101" s="269"/>
      <c r="I101" s="273"/>
      <c r="J101" s="272"/>
      <c r="K101" s="272" t="s">
        <v>1465</v>
      </c>
      <c r="L101" s="269" t="s">
        <v>1024</v>
      </c>
      <c r="M101" s="269" t="s">
        <v>1025</v>
      </c>
      <c r="N101" s="269" t="s">
        <v>1009</v>
      </c>
      <c r="O101" s="269" t="s">
        <v>1793</v>
      </c>
    </row>
    <row r="102" spans="1:15" ht="21" customHeight="1" x14ac:dyDescent="0.7">
      <c r="A102" s="112">
        <f t="shared" si="2"/>
        <v>97</v>
      </c>
      <c r="B102" s="269"/>
      <c r="C102" s="269"/>
      <c r="D102" s="269"/>
      <c r="E102" s="269"/>
      <c r="F102" s="269"/>
      <c r="G102" s="269"/>
      <c r="H102" s="269"/>
      <c r="I102" s="273"/>
      <c r="J102" s="272"/>
      <c r="K102" s="272" t="s">
        <v>1469</v>
      </c>
      <c r="L102" s="269" t="s">
        <v>1024</v>
      </c>
      <c r="M102" s="269" t="s">
        <v>1025</v>
      </c>
      <c r="N102" s="269" t="s">
        <v>1009</v>
      </c>
      <c r="O102" s="269" t="s">
        <v>1793</v>
      </c>
    </row>
    <row r="103" spans="1:15" ht="21" customHeight="1" x14ac:dyDescent="0.7">
      <c r="A103" s="112">
        <f t="shared" si="2"/>
        <v>98</v>
      </c>
      <c r="B103" s="269"/>
      <c r="C103" s="269"/>
      <c r="D103" s="269"/>
      <c r="E103" s="269"/>
      <c r="F103" s="269"/>
      <c r="G103" s="269"/>
      <c r="H103" s="269"/>
      <c r="I103" s="273"/>
      <c r="J103" s="272"/>
      <c r="K103" s="272" t="s">
        <v>1472</v>
      </c>
      <c r="L103" s="269" t="s">
        <v>1489</v>
      </c>
      <c r="M103" s="269" t="s">
        <v>1490</v>
      </c>
      <c r="N103" s="269" t="s">
        <v>1491</v>
      </c>
      <c r="O103" s="269" t="s">
        <v>1793</v>
      </c>
    </row>
    <row r="104" spans="1:15" ht="21" customHeight="1" x14ac:dyDescent="0.7">
      <c r="A104" s="112">
        <f t="shared" si="2"/>
        <v>99</v>
      </c>
      <c r="B104" s="269"/>
      <c r="C104" s="269"/>
      <c r="D104" s="269"/>
      <c r="E104" s="269"/>
      <c r="F104" s="269"/>
      <c r="G104" s="269"/>
      <c r="H104" s="269"/>
      <c r="I104" s="273"/>
      <c r="J104" s="272"/>
      <c r="K104" s="272" t="s">
        <v>1475</v>
      </c>
      <c r="L104" s="269" t="s">
        <v>1492</v>
      </c>
      <c r="M104" s="269" t="s">
        <v>1493</v>
      </c>
      <c r="N104" s="269" t="s">
        <v>1494</v>
      </c>
      <c r="O104" s="269" t="s">
        <v>1793</v>
      </c>
    </row>
    <row r="105" spans="1:15" ht="21" customHeight="1" x14ac:dyDescent="0.7">
      <c r="A105" s="112">
        <f t="shared" si="2"/>
        <v>100</v>
      </c>
      <c r="B105" s="269"/>
      <c r="C105" s="269"/>
      <c r="D105" s="269"/>
      <c r="E105" s="269"/>
      <c r="F105" s="269"/>
      <c r="G105" s="269"/>
      <c r="H105" s="269"/>
      <c r="I105" s="273"/>
      <c r="J105" s="272"/>
      <c r="K105" s="272" t="s">
        <v>1478</v>
      </c>
      <c r="L105" s="269" t="s">
        <v>1489</v>
      </c>
      <c r="M105" s="269" t="s">
        <v>1490</v>
      </c>
      <c r="N105" s="269" t="s">
        <v>1491</v>
      </c>
      <c r="O105" s="269" t="s">
        <v>1793</v>
      </c>
    </row>
    <row r="106" spans="1:15" ht="21" customHeight="1" x14ac:dyDescent="0.7">
      <c r="A106" s="112">
        <f t="shared" si="2"/>
        <v>101</v>
      </c>
      <c r="I106" s="273"/>
      <c r="J106" s="272"/>
      <c r="K106" s="272" t="s">
        <v>1482</v>
      </c>
      <c r="L106" s="269" t="s">
        <v>1024</v>
      </c>
      <c r="M106" s="269" t="s">
        <v>1483</v>
      </c>
      <c r="N106" s="269" t="s">
        <v>1484</v>
      </c>
      <c r="O106" s="269" t="s">
        <v>1793</v>
      </c>
    </row>
    <row r="107" spans="1:15" ht="21" customHeight="1" x14ac:dyDescent="0.7">
      <c r="A107" s="112">
        <f t="shared" si="2"/>
        <v>102</v>
      </c>
      <c r="I107" s="273"/>
      <c r="J107" s="272"/>
      <c r="K107" s="272" t="s">
        <v>1525</v>
      </c>
      <c r="L107" s="269" t="s">
        <v>1574</v>
      </c>
      <c r="M107" s="269" t="s">
        <v>1575</v>
      </c>
      <c r="N107" s="269" t="s">
        <v>1241</v>
      </c>
      <c r="O107" s="269" t="s">
        <v>1794</v>
      </c>
    </row>
    <row r="108" spans="1:15" ht="21" customHeight="1" x14ac:dyDescent="0.7">
      <c r="A108" s="112">
        <f t="shared" si="2"/>
        <v>103</v>
      </c>
      <c r="I108" s="273"/>
      <c r="J108" s="272"/>
      <c r="K108" s="272" t="s">
        <v>1535</v>
      </c>
      <c r="L108" s="269" t="s">
        <v>1574</v>
      </c>
      <c r="M108" s="269" t="s">
        <v>1575</v>
      </c>
      <c r="N108" s="269" t="s">
        <v>1241</v>
      </c>
      <c r="O108" s="269" t="s">
        <v>1794</v>
      </c>
    </row>
    <row r="109" spans="1:15" ht="21" customHeight="1" x14ac:dyDescent="0.7">
      <c r="A109" s="112">
        <f t="shared" si="2"/>
        <v>104</v>
      </c>
      <c r="I109" s="273"/>
      <c r="J109" s="272"/>
      <c r="K109" s="272" t="s">
        <v>1544</v>
      </c>
      <c r="L109" s="269" t="s">
        <v>1574</v>
      </c>
      <c r="M109" s="269" t="s">
        <v>1575</v>
      </c>
      <c r="N109" s="269" t="s">
        <v>1241</v>
      </c>
      <c r="O109" s="269" t="s">
        <v>1794</v>
      </c>
    </row>
    <row r="110" spans="1:15" ht="21" customHeight="1" x14ac:dyDescent="0.7">
      <c r="A110" s="112">
        <f t="shared" si="2"/>
        <v>105</v>
      </c>
      <c r="I110" s="273"/>
      <c r="J110" s="272"/>
      <c r="K110" s="272" t="s">
        <v>1550</v>
      </c>
      <c r="L110" s="269" t="s">
        <v>724</v>
      </c>
      <c r="M110" s="269"/>
      <c r="N110" s="269" t="s">
        <v>739</v>
      </c>
      <c r="O110" s="269" t="s">
        <v>1794</v>
      </c>
    </row>
    <row r="111" spans="1:15" ht="21" customHeight="1" x14ac:dyDescent="0.7">
      <c r="A111" s="112">
        <f t="shared" si="2"/>
        <v>106</v>
      </c>
      <c r="I111" s="273"/>
      <c r="J111" s="272"/>
      <c r="K111" s="272" t="s">
        <v>1554</v>
      </c>
      <c r="L111" s="269" t="s">
        <v>1574</v>
      </c>
      <c r="M111" s="269" t="s">
        <v>1575</v>
      </c>
      <c r="N111" s="269" t="s">
        <v>1241</v>
      </c>
      <c r="O111" s="269" t="s">
        <v>1794</v>
      </c>
    </row>
    <row r="112" spans="1:15" ht="21" customHeight="1" x14ac:dyDescent="0.7">
      <c r="A112" s="112">
        <f t="shared" si="2"/>
        <v>107</v>
      </c>
      <c r="I112" s="273"/>
      <c r="J112" s="272"/>
      <c r="K112" s="272" t="s">
        <v>1560</v>
      </c>
      <c r="L112" s="269" t="s">
        <v>790</v>
      </c>
      <c r="M112" s="269" t="s">
        <v>789</v>
      </c>
      <c r="N112" s="269" t="s">
        <v>788</v>
      </c>
      <c r="O112" s="269" t="s">
        <v>1794</v>
      </c>
    </row>
    <row r="113" spans="1:15" ht="21" customHeight="1" x14ac:dyDescent="0.7">
      <c r="A113" s="112">
        <f t="shared" si="2"/>
        <v>108</v>
      </c>
      <c r="I113" s="273"/>
      <c r="J113" s="272"/>
      <c r="K113" s="272" t="s">
        <v>1566</v>
      </c>
      <c r="L113" s="269" t="s">
        <v>1245</v>
      </c>
      <c r="M113" s="269" t="s">
        <v>1287</v>
      </c>
      <c r="N113" s="269" t="s">
        <v>796</v>
      </c>
      <c r="O113" s="269" t="s">
        <v>1794</v>
      </c>
    </row>
    <row r="114" spans="1:15" ht="21" customHeight="1" x14ac:dyDescent="0.7">
      <c r="A114" s="112">
        <f t="shared" si="2"/>
        <v>109</v>
      </c>
      <c r="I114" s="273"/>
      <c r="J114" s="272"/>
      <c r="K114" s="274" t="s">
        <v>1572</v>
      </c>
      <c r="L114" s="269" t="s">
        <v>1580</v>
      </c>
      <c r="M114" s="269">
        <v>0.5</v>
      </c>
      <c r="N114" s="269" t="s">
        <v>784</v>
      </c>
      <c r="O114" s="269" t="s">
        <v>1794</v>
      </c>
    </row>
    <row r="115" spans="1:15" ht="21" customHeight="1" x14ac:dyDescent="0.7">
      <c r="A115" s="112">
        <f t="shared" si="2"/>
        <v>110</v>
      </c>
      <c r="I115" s="273"/>
      <c r="J115" s="272"/>
      <c r="K115" s="272" t="s">
        <v>1603</v>
      </c>
      <c r="L115" s="269" t="s">
        <v>724</v>
      </c>
      <c r="M115" s="269" t="s">
        <v>1602</v>
      </c>
      <c r="N115" s="269" t="s">
        <v>739</v>
      </c>
      <c r="O115" s="269" t="s">
        <v>1795</v>
      </c>
    </row>
    <row r="116" spans="1:15" ht="21" customHeight="1" x14ac:dyDescent="0.7">
      <c r="A116" s="112">
        <f t="shared" si="2"/>
        <v>111</v>
      </c>
      <c r="I116" s="273"/>
      <c r="J116" s="272"/>
      <c r="K116" s="274" t="s">
        <v>1607</v>
      </c>
      <c r="L116" s="269" t="s">
        <v>1606</v>
      </c>
      <c r="M116" s="269" t="s">
        <v>1641</v>
      </c>
      <c r="N116" s="269" t="s">
        <v>1642</v>
      </c>
      <c r="O116" s="269" t="s">
        <v>1795</v>
      </c>
    </row>
    <row r="117" spans="1:15" ht="21" customHeight="1" x14ac:dyDescent="0.7">
      <c r="A117" s="112">
        <f t="shared" si="2"/>
        <v>112</v>
      </c>
      <c r="I117" s="273"/>
      <c r="J117" s="272"/>
      <c r="K117" s="272" t="s">
        <v>1611</v>
      </c>
      <c r="L117" s="269" t="s">
        <v>1624</v>
      </c>
      <c r="M117" s="269" t="s">
        <v>1610</v>
      </c>
      <c r="N117" s="269" t="s">
        <v>1643</v>
      </c>
      <c r="O117" s="269" t="s">
        <v>1795</v>
      </c>
    </row>
    <row r="118" spans="1:15" ht="21" customHeight="1" x14ac:dyDescent="0.7">
      <c r="A118" s="112">
        <f t="shared" si="2"/>
        <v>113</v>
      </c>
      <c r="I118" s="273"/>
      <c r="J118" s="272"/>
      <c r="K118" s="272" t="s">
        <v>1614</v>
      </c>
      <c r="L118" s="269" t="s">
        <v>724</v>
      </c>
      <c r="M118" s="269" t="s">
        <v>1602</v>
      </c>
      <c r="N118" s="269" t="s">
        <v>739</v>
      </c>
      <c r="O118" s="269" t="s">
        <v>1795</v>
      </c>
    </row>
    <row r="119" spans="1:15" ht="21" customHeight="1" x14ac:dyDescent="0.7">
      <c r="A119" s="112">
        <f t="shared" si="2"/>
        <v>114</v>
      </c>
      <c r="I119" s="273"/>
      <c r="J119" s="272"/>
      <c r="K119" s="272" t="s">
        <v>1617</v>
      </c>
      <c r="L119" s="269" t="s">
        <v>1574</v>
      </c>
      <c r="M119" s="269" t="s">
        <v>1645</v>
      </c>
      <c r="N119" s="269" t="s">
        <v>784</v>
      </c>
      <c r="O119" s="269" t="s">
        <v>1795</v>
      </c>
    </row>
    <row r="120" spans="1:15" ht="21" customHeight="1" x14ac:dyDescent="0.7">
      <c r="A120" s="112">
        <f t="shared" si="2"/>
        <v>115</v>
      </c>
      <c r="I120" s="273"/>
      <c r="J120" s="272"/>
      <c r="K120" s="274" t="s">
        <v>1621</v>
      </c>
      <c r="L120" s="269" t="s">
        <v>1620</v>
      </c>
      <c r="M120" s="269" t="s">
        <v>1646</v>
      </c>
      <c r="N120" s="269" t="s">
        <v>1647</v>
      </c>
      <c r="O120" s="269" t="s">
        <v>1795</v>
      </c>
    </row>
    <row r="121" spans="1:15" ht="21" customHeight="1" x14ac:dyDescent="0.7">
      <c r="A121" s="112">
        <f t="shared" si="2"/>
        <v>116</v>
      </c>
      <c r="I121" s="273"/>
      <c r="J121" s="272"/>
      <c r="K121" s="274" t="s">
        <v>1625</v>
      </c>
      <c r="L121" s="269" t="s">
        <v>1624</v>
      </c>
      <c r="M121" s="269" t="s">
        <v>1610</v>
      </c>
      <c r="N121" s="269" t="s">
        <v>1643</v>
      </c>
      <c r="O121" s="269" t="s">
        <v>1795</v>
      </c>
    </row>
    <row r="122" spans="1:15" ht="21" customHeight="1" x14ac:dyDescent="0.7">
      <c r="A122" s="112">
        <f t="shared" si="2"/>
        <v>117</v>
      </c>
      <c r="I122" s="273"/>
      <c r="J122" s="272"/>
      <c r="K122" s="272" t="s">
        <v>1628</v>
      </c>
      <c r="L122" s="269" t="s">
        <v>1606</v>
      </c>
      <c r="M122" s="269" t="s">
        <v>1641</v>
      </c>
      <c r="N122" s="269" t="s">
        <v>1642</v>
      </c>
      <c r="O122" s="269" t="s">
        <v>1795</v>
      </c>
    </row>
    <row r="123" spans="1:15" ht="21" customHeight="1" x14ac:dyDescent="0.7">
      <c r="A123" s="112">
        <f t="shared" si="2"/>
        <v>118</v>
      </c>
      <c r="I123" s="273"/>
      <c r="J123" s="272"/>
      <c r="K123" s="274" t="s">
        <v>1632</v>
      </c>
      <c r="L123" s="269" t="s">
        <v>1631</v>
      </c>
      <c r="M123" s="269" t="s">
        <v>1610</v>
      </c>
      <c r="N123" s="269" t="s">
        <v>1286</v>
      </c>
      <c r="O123" s="269" t="s">
        <v>1795</v>
      </c>
    </row>
    <row r="124" spans="1:15" ht="21" customHeight="1" x14ac:dyDescent="0.7">
      <c r="A124" s="112">
        <f t="shared" si="2"/>
        <v>119</v>
      </c>
      <c r="I124" s="273"/>
      <c r="J124" s="272"/>
      <c r="K124" s="274" t="s">
        <v>1635</v>
      </c>
      <c r="L124" s="269" t="s">
        <v>1631</v>
      </c>
      <c r="M124" s="269" t="s">
        <v>1610</v>
      </c>
      <c r="N124" s="269" t="s">
        <v>1286</v>
      </c>
      <c r="O124" s="269" t="s">
        <v>1795</v>
      </c>
    </row>
    <row r="125" spans="1:15" ht="21" customHeight="1" x14ac:dyDescent="0.7">
      <c r="A125" s="112">
        <f t="shared" si="2"/>
        <v>120</v>
      </c>
      <c r="I125" s="273"/>
      <c r="J125" s="272"/>
      <c r="K125" s="274" t="s">
        <v>1638</v>
      </c>
      <c r="L125" s="269" t="s">
        <v>1631</v>
      </c>
      <c r="M125" s="269" t="s">
        <v>1610</v>
      </c>
      <c r="N125" s="269" t="s">
        <v>1286</v>
      </c>
      <c r="O125" s="269" t="s">
        <v>1795</v>
      </c>
    </row>
    <row r="126" spans="1:15" ht="21" customHeight="1" x14ac:dyDescent="0.7">
      <c r="A126" s="112">
        <f t="shared" si="2"/>
        <v>121</v>
      </c>
      <c r="I126" s="273"/>
      <c r="J126" s="272"/>
      <c r="K126" s="272"/>
      <c r="L126" s="269"/>
      <c r="M126" s="269"/>
      <c r="N126" s="269"/>
      <c r="O126" s="269"/>
    </row>
    <row r="127" spans="1:15" ht="21" customHeight="1" x14ac:dyDescent="0.7">
      <c r="A127" s="112">
        <f t="shared" si="2"/>
        <v>122</v>
      </c>
      <c r="I127" s="273"/>
      <c r="J127" s="272"/>
      <c r="K127" s="272"/>
      <c r="L127" s="269"/>
      <c r="M127" s="269"/>
      <c r="N127" s="269"/>
      <c r="O127" s="269"/>
    </row>
    <row r="128" spans="1:15" ht="21" customHeight="1" x14ac:dyDescent="0.7">
      <c r="A128" s="112">
        <f t="shared" si="2"/>
        <v>123</v>
      </c>
      <c r="I128" s="273"/>
      <c r="J128" s="272"/>
      <c r="K128" s="272"/>
      <c r="L128" s="269"/>
      <c r="M128" s="269"/>
      <c r="N128" s="269"/>
      <c r="O128" s="269"/>
    </row>
    <row r="129" spans="1:15" ht="21" customHeight="1" x14ac:dyDescent="0.7">
      <c r="A129" s="112">
        <f t="shared" si="2"/>
        <v>124</v>
      </c>
      <c r="I129" s="273"/>
      <c r="J129" s="272"/>
      <c r="K129" s="272"/>
      <c r="L129" s="269"/>
      <c r="M129" s="269"/>
      <c r="N129" s="269"/>
      <c r="O129" s="269"/>
    </row>
    <row r="130" spans="1:15" ht="21" customHeight="1" x14ac:dyDescent="0.7">
      <c r="A130" s="112">
        <f t="shared" si="2"/>
        <v>125</v>
      </c>
      <c r="I130" s="273"/>
      <c r="J130" s="272"/>
      <c r="K130" s="272"/>
      <c r="L130" s="269"/>
      <c r="M130" s="269"/>
      <c r="N130" s="269"/>
      <c r="O130" s="269"/>
    </row>
    <row r="131" spans="1:15" ht="21" customHeight="1" x14ac:dyDescent="0.7">
      <c r="A131" s="112">
        <f t="shared" si="2"/>
        <v>126</v>
      </c>
      <c r="I131" s="273"/>
      <c r="J131" s="272"/>
      <c r="K131" s="272"/>
      <c r="L131" s="269"/>
      <c r="M131" s="269"/>
      <c r="N131" s="269"/>
      <c r="O131" s="269"/>
    </row>
    <row r="132" spans="1:15" ht="21" customHeight="1" x14ac:dyDescent="0.7">
      <c r="A132" s="112">
        <f t="shared" si="2"/>
        <v>127</v>
      </c>
      <c r="I132" s="273"/>
      <c r="J132" s="272"/>
      <c r="K132" s="272"/>
      <c r="L132" s="269"/>
      <c r="M132" s="269"/>
      <c r="N132" s="269"/>
      <c r="O132" s="269"/>
    </row>
    <row r="133" spans="1:15" ht="21" customHeight="1" x14ac:dyDescent="0.7">
      <c r="A133" s="112">
        <f t="shared" si="2"/>
        <v>128</v>
      </c>
      <c r="I133" s="273"/>
      <c r="J133" s="272"/>
      <c r="K133" s="272"/>
      <c r="L133" s="269"/>
      <c r="M133" s="269"/>
      <c r="N133" s="269"/>
      <c r="O133" s="269"/>
    </row>
    <row r="134" spans="1:15" ht="21" customHeight="1" x14ac:dyDescent="0.7">
      <c r="A134" s="112">
        <f t="shared" si="2"/>
        <v>129</v>
      </c>
      <c r="I134" s="273"/>
      <c r="J134" s="272"/>
      <c r="K134" s="272"/>
      <c r="L134" s="269"/>
      <c r="M134" s="269"/>
      <c r="N134" s="269"/>
      <c r="O134" s="269"/>
    </row>
    <row r="135" spans="1:15" ht="21" customHeight="1" x14ac:dyDescent="0.7">
      <c r="A135" s="112">
        <f t="shared" ref="A135:A198" si="3">ROW()-5</f>
        <v>130</v>
      </c>
      <c r="I135" s="273"/>
      <c r="J135" s="272"/>
      <c r="K135" s="272"/>
      <c r="L135" s="269"/>
      <c r="M135" s="269"/>
      <c r="N135" s="269"/>
      <c r="O135" s="269"/>
    </row>
    <row r="136" spans="1:15" ht="21" customHeight="1" x14ac:dyDescent="0.7">
      <c r="A136" s="112">
        <f t="shared" si="3"/>
        <v>131</v>
      </c>
      <c r="I136" s="273"/>
      <c r="J136" s="272"/>
      <c r="K136" s="272"/>
      <c r="L136" s="269"/>
      <c r="M136" s="269"/>
      <c r="N136" s="269"/>
      <c r="O136" s="269"/>
    </row>
    <row r="137" spans="1:15" ht="21" customHeight="1" x14ac:dyDescent="0.7">
      <c r="A137" s="112">
        <f t="shared" si="3"/>
        <v>132</v>
      </c>
      <c r="I137" s="273"/>
      <c r="J137" s="272"/>
      <c r="K137" s="272"/>
      <c r="L137" s="269"/>
      <c r="M137" s="269"/>
      <c r="N137" s="269"/>
      <c r="O137" s="269"/>
    </row>
    <row r="138" spans="1:15" ht="21" customHeight="1" x14ac:dyDescent="0.7">
      <c r="A138" s="112">
        <f t="shared" si="3"/>
        <v>133</v>
      </c>
      <c r="I138" s="273"/>
      <c r="J138" s="272"/>
      <c r="K138" s="272"/>
      <c r="L138" s="269"/>
      <c r="M138" s="269"/>
      <c r="N138" s="269"/>
      <c r="O138" s="269"/>
    </row>
    <row r="139" spans="1:15" ht="21" customHeight="1" x14ac:dyDescent="0.7">
      <c r="A139" s="112">
        <f t="shared" si="3"/>
        <v>134</v>
      </c>
      <c r="I139" s="273"/>
      <c r="J139" s="272"/>
      <c r="K139" s="272"/>
      <c r="L139" s="269"/>
      <c r="M139" s="269"/>
      <c r="N139" s="269"/>
      <c r="O139" s="269"/>
    </row>
    <row r="140" spans="1:15" ht="21" customHeight="1" x14ac:dyDescent="0.7">
      <c r="A140" s="112">
        <f t="shared" si="3"/>
        <v>135</v>
      </c>
      <c r="I140" s="273"/>
      <c r="J140" s="272"/>
      <c r="K140" s="272"/>
      <c r="L140" s="269"/>
      <c r="M140" s="269"/>
      <c r="N140" s="269"/>
      <c r="O140" s="269"/>
    </row>
    <row r="141" spans="1:15" ht="21" customHeight="1" x14ac:dyDescent="0.7">
      <c r="A141" s="112">
        <f t="shared" si="3"/>
        <v>136</v>
      </c>
      <c r="I141" s="273"/>
      <c r="J141" s="272"/>
      <c r="K141" s="272"/>
      <c r="L141" s="269"/>
      <c r="M141" s="269"/>
      <c r="N141" s="269"/>
      <c r="O141" s="269"/>
    </row>
    <row r="142" spans="1:15" ht="21" customHeight="1" x14ac:dyDescent="0.7">
      <c r="A142" s="112">
        <f t="shared" si="3"/>
        <v>137</v>
      </c>
      <c r="I142" s="273"/>
      <c r="J142" s="272"/>
      <c r="K142" s="272"/>
      <c r="L142" s="269"/>
      <c r="M142" s="269"/>
      <c r="N142" s="269"/>
      <c r="O142" s="269"/>
    </row>
    <row r="143" spans="1:15" ht="21" customHeight="1" x14ac:dyDescent="0.7">
      <c r="A143" s="112">
        <f t="shared" si="3"/>
        <v>138</v>
      </c>
      <c r="I143" s="273"/>
      <c r="J143" s="272"/>
      <c r="K143" s="272"/>
      <c r="L143" s="269"/>
      <c r="M143" s="269"/>
      <c r="N143" s="269"/>
      <c r="O143" s="269"/>
    </row>
    <row r="144" spans="1:15" ht="21" customHeight="1" x14ac:dyDescent="0.7">
      <c r="A144" s="112">
        <f t="shared" si="3"/>
        <v>139</v>
      </c>
      <c r="I144" s="273"/>
      <c r="J144" s="272"/>
      <c r="K144" s="272"/>
      <c r="L144" s="269"/>
      <c r="M144" s="269"/>
      <c r="N144" s="269"/>
      <c r="O144" s="269"/>
    </row>
    <row r="145" spans="1:15" ht="21" customHeight="1" x14ac:dyDescent="0.7">
      <c r="A145" s="112">
        <f t="shared" si="3"/>
        <v>140</v>
      </c>
      <c r="I145" s="273"/>
      <c r="J145" s="272"/>
      <c r="K145" s="272"/>
      <c r="L145" s="269"/>
      <c r="M145" s="269"/>
      <c r="N145" s="269"/>
      <c r="O145" s="269"/>
    </row>
    <row r="146" spans="1:15" ht="21" customHeight="1" x14ac:dyDescent="0.7">
      <c r="A146" s="112">
        <f t="shared" si="3"/>
        <v>141</v>
      </c>
      <c r="I146" s="273"/>
      <c r="J146" s="272"/>
      <c r="K146" s="272"/>
      <c r="L146" s="269"/>
      <c r="M146" s="269"/>
      <c r="N146" s="269"/>
      <c r="O146" s="269"/>
    </row>
    <row r="147" spans="1:15" ht="21" customHeight="1" x14ac:dyDescent="0.7">
      <c r="A147" s="112">
        <f t="shared" si="3"/>
        <v>142</v>
      </c>
      <c r="I147" s="273"/>
      <c r="J147" s="272"/>
      <c r="K147" s="272"/>
      <c r="L147" s="269"/>
      <c r="M147" s="269"/>
      <c r="N147" s="269"/>
      <c r="O147" s="269"/>
    </row>
    <row r="148" spans="1:15" ht="21" customHeight="1" x14ac:dyDescent="0.7">
      <c r="A148" s="112">
        <f t="shared" si="3"/>
        <v>143</v>
      </c>
      <c r="I148" s="273"/>
      <c r="J148" s="272"/>
      <c r="K148" s="272"/>
      <c r="L148" s="269"/>
      <c r="M148" s="269"/>
      <c r="N148" s="269"/>
      <c r="O148" s="269"/>
    </row>
    <row r="149" spans="1:15" ht="21" customHeight="1" x14ac:dyDescent="0.7">
      <c r="A149" s="112">
        <f t="shared" si="3"/>
        <v>144</v>
      </c>
      <c r="I149" s="273"/>
      <c r="J149" s="272"/>
      <c r="K149" s="272"/>
      <c r="L149" s="269"/>
      <c r="M149" s="269"/>
      <c r="N149" s="269"/>
      <c r="O149" s="269"/>
    </row>
    <row r="150" spans="1:15" ht="21" customHeight="1" x14ac:dyDescent="0.7">
      <c r="A150" s="112">
        <f t="shared" si="3"/>
        <v>145</v>
      </c>
      <c r="I150" s="273"/>
      <c r="J150" s="272"/>
      <c r="K150" s="272"/>
      <c r="L150" s="269"/>
      <c r="M150" s="269"/>
      <c r="N150" s="269"/>
      <c r="O150" s="269"/>
    </row>
    <row r="151" spans="1:15" ht="21" customHeight="1" x14ac:dyDescent="0.7">
      <c r="A151" s="112">
        <f t="shared" si="3"/>
        <v>146</v>
      </c>
      <c r="I151" s="273"/>
      <c r="J151" s="272"/>
      <c r="K151" s="272"/>
      <c r="L151" s="269"/>
      <c r="M151" s="269"/>
      <c r="N151" s="269"/>
      <c r="O151" s="269"/>
    </row>
    <row r="152" spans="1:15" ht="21" customHeight="1" x14ac:dyDescent="0.7">
      <c r="A152" s="112">
        <f t="shared" si="3"/>
        <v>147</v>
      </c>
      <c r="I152" s="273"/>
      <c r="J152" s="272"/>
      <c r="K152" s="272"/>
      <c r="L152" s="269"/>
      <c r="M152" s="269"/>
      <c r="N152" s="269"/>
      <c r="O152" s="269"/>
    </row>
    <row r="153" spans="1:15" ht="21" customHeight="1" x14ac:dyDescent="0.7">
      <c r="A153" s="112">
        <f t="shared" si="3"/>
        <v>148</v>
      </c>
      <c r="I153" s="273"/>
      <c r="J153" s="272"/>
      <c r="K153" s="272"/>
      <c r="L153" s="269"/>
      <c r="M153" s="269"/>
      <c r="N153" s="269"/>
      <c r="O153" s="269"/>
    </row>
    <row r="154" spans="1:15" ht="21" customHeight="1" x14ac:dyDescent="0.7">
      <c r="A154" s="112">
        <f t="shared" si="3"/>
        <v>149</v>
      </c>
      <c r="I154" s="273"/>
      <c r="J154" s="272"/>
      <c r="K154" s="272"/>
      <c r="L154" s="269"/>
      <c r="M154" s="269"/>
      <c r="N154" s="269"/>
      <c r="O154" s="269"/>
    </row>
    <row r="155" spans="1:15" ht="21" customHeight="1" x14ac:dyDescent="0.7">
      <c r="A155" s="112">
        <f t="shared" si="3"/>
        <v>150</v>
      </c>
      <c r="I155" s="273"/>
      <c r="J155" s="272"/>
      <c r="K155" s="272"/>
      <c r="L155" s="269"/>
      <c r="M155" s="269"/>
      <c r="N155" s="269"/>
      <c r="O155" s="269"/>
    </row>
    <row r="156" spans="1:15" ht="21" customHeight="1" x14ac:dyDescent="0.7">
      <c r="A156" s="112">
        <f t="shared" si="3"/>
        <v>151</v>
      </c>
      <c r="I156" s="273"/>
      <c r="J156" s="272"/>
      <c r="K156" s="272"/>
      <c r="L156" s="269"/>
      <c r="M156" s="269"/>
      <c r="N156" s="269"/>
      <c r="O156" s="269"/>
    </row>
    <row r="157" spans="1:15" ht="21" customHeight="1" x14ac:dyDescent="0.7">
      <c r="A157" s="112">
        <f t="shared" si="3"/>
        <v>152</v>
      </c>
      <c r="I157" s="273"/>
      <c r="J157" s="272"/>
      <c r="K157" s="272"/>
      <c r="L157" s="269"/>
      <c r="M157" s="269"/>
      <c r="N157" s="269"/>
      <c r="O157" s="269"/>
    </row>
    <row r="158" spans="1:15" ht="21" customHeight="1" x14ac:dyDescent="0.7">
      <c r="A158" s="112">
        <f t="shared" si="3"/>
        <v>153</v>
      </c>
      <c r="I158" s="273"/>
      <c r="J158" s="272"/>
      <c r="K158" s="272"/>
      <c r="L158" s="269"/>
      <c r="M158" s="269"/>
      <c r="N158" s="269"/>
      <c r="O158" s="269"/>
    </row>
    <row r="159" spans="1:15" ht="21" customHeight="1" x14ac:dyDescent="0.7">
      <c r="A159" s="112">
        <f t="shared" si="3"/>
        <v>154</v>
      </c>
      <c r="I159" s="273"/>
      <c r="J159" s="272"/>
      <c r="K159" s="272"/>
      <c r="L159" s="269"/>
      <c r="M159" s="269"/>
      <c r="N159" s="269"/>
      <c r="O159" s="269"/>
    </row>
    <row r="160" spans="1:15" ht="21" customHeight="1" x14ac:dyDescent="0.7">
      <c r="A160" s="112">
        <f t="shared" si="3"/>
        <v>155</v>
      </c>
      <c r="I160" s="273"/>
      <c r="J160" s="272"/>
      <c r="K160" s="272"/>
      <c r="L160" s="269"/>
      <c r="M160" s="269"/>
      <c r="N160" s="269"/>
      <c r="O160" s="269"/>
    </row>
    <row r="161" spans="1:15" ht="21" customHeight="1" x14ac:dyDescent="0.7">
      <c r="A161" s="112">
        <f t="shared" si="3"/>
        <v>156</v>
      </c>
      <c r="I161" s="273"/>
      <c r="J161" s="272"/>
      <c r="K161" s="272"/>
      <c r="L161" s="269"/>
      <c r="M161" s="269"/>
      <c r="N161" s="269"/>
      <c r="O161" s="269"/>
    </row>
    <row r="162" spans="1:15" ht="21" customHeight="1" x14ac:dyDescent="0.7">
      <c r="A162" s="112">
        <f t="shared" si="3"/>
        <v>157</v>
      </c>
      <c r="I162" s="273"/>
      <c r="J162" s="272"/>
      <c r="K162" s="272"/>
      <c r="L162" s="269"/>
      <c r="M162" s="269"/>
      <c r="N162" s="269"/>
      <c r="O162" s="269"/>
    </row>
    <row r="163" spans="1:15" ht="21" customHeight="1" x14ac:dyDescent="0.7">
      <c r="A163" s="112">
        <f t="shared" si="3"/>
        <v>158</v>
      </c>
      <c r="I163" s="273"/>
      <c r="J163" s="272"/>
      <c r="K163" s="272"/>
      <c r="L163" s="269"/>
      <c r="M163" s="269"/>
      <c r="N163" s="269"/>
      <c r="O163" s="269"/>
    </row>
    <row r="164" spans="1:15" ht="21" customHeight="1" x14ac:dyDescent="0.7">
      <c r="A164" s="112">
        <f t="shared" si="3"/>
        <v>159</v>
      </c>
      <c r="I164" s="273"/>
      <c r="J164" s="272"/>
      <c r="K164" s="272"/>
      <c r="L164" s="269"/>
      <c r="M164" s="269"/>
      <c r="N164" s="269"/>
      <c r="O164" s="269"/>
    </row>
    <row r="165" spans="1:15" ht="21" customHeight="1" x14ac:dyDescent="0.7">
      <c r="A165" s="112">
        <f t="shared" si="3"/>
        <v>160</v>
      </c>
      <c r="I165" s="273"/>
      <c r="J165" s="272"/>
      <c r="K165" s="272"/>
      <c r="L165" s="269"/>
      <c r="M165" s="269"/>
      <c r="N165" s="269"/>
      <c r="O165" s="269"/>
    </row>
    <row r="166" spans="1:15" ht="21" customHeight="1" x14ac:dyDescent="0.7">
      <c r="A166" s="112">
        <f t="shared" si="3"/>
        <v>161</v>
      </c>
      <c r="I166" s="273"/>
      <c r="J166" s="272"/>
      <c r="K166" s="272"/>
      <c r="L166" s="269"/>
      <c r="M166" s="269"/>
      <c r="N166" s="269"/>
      <c r="O166" s="269"/>
    </row>
    <row r="167" spans="1:15" ht="21" customHeight="1" x14ac:dyDescent="0.7">
      <c r="A167" s="112">
        <f t="shared" si="3"/>
        <v>162</v>
      </c>
      <c r="I167" s="273"/>
      <c r="J167" s="272"/>
      <c r="K167" s="272"/>
      <c r="L167" s="269"/>
      <c r="M167" s="269"/>
      <c r="N167" s="269"/>
      <c r="O167" s="269"/>
    </row>
    <row r="168" spans="1:15" ht="21" customHeight="1" x14ac:dyDescent="0.7">
      <c r="A168" s="112">
        <f t="shared" si="3"/>
        <v>163</v>
      </c>
      <c r="I168" s="273"/>
      <c r="J168" s="272"/>
      <c r="K168" s="272"/>
      <c r="L168" s="269"/>
      <c r="M168" s="269"/>
      <c r="N168" s="269"/>
      <c r="O168" s="269"/>
    </row>
    <row r="169" spans="1:15" ht="21" customHeight="1" x14ac:dyDescent="0.7">
      <c r="A169" s="112">
        <f t="shared" si="3"/>
        <v>164</v>
      </c>
      <c r="I169" s="273"/>
      <c r="J169" s="272"/>
      <c r="K169" s="272"/>
      <c r="L169" s="269"/>
      <c r="M169" s="269"/>
      <c r="N169" s="269"/>
      <c r="O169" s="269"/>
    </row>
    <row r="170" spans="1:15" ht="21" customHeight="1" x14ac:dyDescent="0.7">
      <c r="A170" s="112">
        <f t="shared" si="3"/>
        <v>165</v>
      </c>
      <c r="I170" s="273"/>
      <c r="J170" s="272"/>
      <c r="K170" s="272"/>
      <c r="L170" s="269"/>
      <c r="M170" s="269"/>
      <c r="N170" s="269"/>
      <c r="O170" s="269"/>
    </row>
    <row r="171" spans="1:15" ht="21" customHeight="1" x14ac:dyDescent="0.7">
      <c r="A171" s="112">
        <f t="shared" si="3"/>
        <v>166</v>
      </c>
      <c r="I171" s="273"/>
      <c r="J171" s="272"/>
      <c r="K171" s="272"/>
      <c r="L171" s="269"/>
      <c r="M171" s="269"/>
      <c r="N171" s="269"/>
      <c r="O171" s="269"/>
    </row>
    <row r="172" spans="1:15" ht="21" customHeight="1" x14ac:dyDescent="0.7">
      <c r="A172" s="112">
        <f t="shared" si="3"/>
        <v>167</v>
      </c>
      <c r="I172" s="273"/>
      <c r="J172" s="272"/>
      <c r="K172" s="272"/>
      <c r="L172" s="269"/>
      <c r="M172" s="269"/>
      <c r="N172" s="269"/>
      <c r="O172" s="269"/>
    </row>
    <row r="173" spans="1:15" ht="21" customHeight="1" x14ac:dyDescent="0.7">
      <c r="A173" s="112">
        <f t="shared" si="3"/>
        <v>168</v>
      </c>
      <c r="I173" s="273"/>
      <c r="J173" s="272"/>
      <c r="K173" s="272"/>
      <c r="L173" s="269"/>
      <c r="M173" s="269"/>
      <c r="N173" s="269"/>
      <c r="O173" s="269"/>
    </row>
    <row r="174" spans="1:15" ht="21" customHeight="1" x14ac:dyDescent="0.7">
      <c r="A174" s="112">
        <f t="shared" si="3"/>
        <v>169</v>
      </c>
      <c r="I174" s="273"/>
      <c r="J174" s="272"/>
      <c r="K174" s="272"/>
      <c r="L174" s="269"/>
      <c r="M174" s="269"/>
      <c r="N174" s="269"/>
      <c r="O174" s="269"/>
    </row>
    <row r="175" spans="1:15" ht="21" customHeight="1" x14ac:dyDescent="0.7">
      <c r="A175" s="112">
        <f t="shared" si="3"/>
        <v>170</v>
      </c>
      <c r="I175" s="273"/>
      <c r="J175" s="272"/>
      <c r="K175" s="272"/>
      <c r="L175" s="269"/>
      <c r="M175" s="269"/>
      <c r="N175" s="269"/>
      <c r="O175" s="269"/>
    </row>
    <row r="176" spans="1:15" ht="21" customHeight="1" x14ac:dyDescent="0.7">
      <c r="A176" s="112">
        <f t="shared" si="3"/>
        <v>171</v>
      </c>
      <c r="I176" s="273"/>
      <c r="J176" s="272"/>
      <c r="K176" s="272"/>
      <c r="L176" s="269"/>
      <c r="M176" s="269"/>
      <c r="N176" s="269"/>
      <c r="O176" s="269"/>
    </row>
    <row r="177" spans="1:15" ht="21" customHeight="1" x14ac:dyDescent="0.7">
      <c r="A177" s="112">
        <f t="shared" si="3"/>
        <v>172</v>
      </c>
      <c r="I177" s="273"/>
      <c r="J177" s="272"/>
      <c r="K177" s="272"/>
      <c r="L177" s="269"/>
      <c r="M177" s="269"/>
      <c r="N177" s="269"/>
      <c r="O177" s="269"/>
    </row>
    <row r="178" spans="1:15" ht="21" customHeight="1" x14ac:dyDescent="0.7">
      <c r="A178" s="112">
        <f t="shared" si="3"/>
        <v>173</v>
      </c>
      <c r="I178" s="273"/>
      <c r="J178" s="272"/>
      <c r="K178" s="272"/>
      <c r="L178" s="269"/>
      <c r="M178" s="269"/>
      <c r="N178" s="269"/>
      <c r="O178" s="269"/>
    </row>
    <row r="179" spans="1:15" ht="21" customHeight="1" x14ac:dyDescent="0.7">
      <c r="A179" s="112">
        <f t="shared" si="3"/>
        <v>174</v>
      </c>
      <c r="I179" s="273"/>
      <c r="J179" s="272"/>
      <c r="K179" s="272"/>
      <c r="L179" s="269"/>
      <c r="M179" s="269"/>
      <c r="N179" s="269"/>
      <c r="O179" s="269"/>
    </row>
    <row r="180" spans="1:15" ht="21" customHeight="1" x14ac:dyDescent="0.7">
      <c r="A180" s="112">
        <f t="shared" si="3"/>
        <v>175</v>
      </c>
      <c r="I180" s="273"/>
      <c r="J180" s="272"/>
      <c r="K180" s="272"/>
      <c r="L180" s="269"/>
      <c r="M180" s="269"/>
      <c r="N180" s="269"/>
      <c r="O180" s="269"/>
    </row>
    <row r="181" spans="1:15" ht="21" customHeight="1" x14ac:dyDescent="0.7">
      <c r="A181" s="112">
        <f t="shared" si="3"/>
        <v>176</v>
      </c>
      <c r="I181" s="273"/>
      <c r="J181" s="272"/>
      <c r="K181" s="272"/>
      <c r="L181" s="269"/>
      <c r="M181" s="269"/>
      <c r="N181" s="269"/>
      <c r="O181" s="269"/>
    </row>
    <row r="182" spans="1:15" ht="21" customHeight="1" x14ac:dyDescent="0.7">
      <c r="A182" s="112">
        <f t="shared" si="3"/>
        <v>177</v>
      </c>
      <c r="I182" s="273"/>
      <c r="J182" s="272"/>
      <c r="K182" s="272"/>
      <c r="L182" s="269"/>
      <c r="M182" s="269"/>
      <c r="N182" s="269"/>
      <c r="O182" s="269"/>
    </row>
    <row r="183" spans="1:15" ht="21" customHeight="1" x14ac:dyDescent="0.7">
      <c r="A183" s="112">
        <f t="shared" si="3"/>
        <v>178</v>
      </c>
      <c r="I183" s="273"/>
      <c r="J183" s="272"/>
      <c r="K183" s="272"/>
      <c r="L183" s="269"/>
      <c r="M183" s="269"/>
      <c r="N183" s="269"/>
      <c r="O183" s="269"/>
    </row>
    <row r="184" spans="1:15" ht="21" customHeight="1" x14ac:dyDescent="0.7">
      <c r="A184" s="112">
        <f t="shared" si="3"/>
        <v>179</v>
      </c>
      <c r="I184" s="273"/>
      <c r="J184" s="272"/>
      <c r="K184" s="272"/>
      <c r="L184" s="269"/>
      <c r="M184" s="269"/>
      <c r="N184" s="269"/>
      <c r="O184" s="269"/>
    </row>
    <row r="185" spans="1:15" ht="21" customHeight="1" x14ac:dyDescent="0.7">
      <c r="A185" s="112">
        <f t="shared" si="3"/>
        <v>180</v>
      </c>
      <c r="I185" s="273"/>
      <c r="J185" s="272"/>
      <c r="K185" s="272"/>
      <c r="L185" s="269"/>
      <c r="M185" s="269"/>
      <c r="N185" s="269"/>
      <c r="O185" s="269"/>
    </row>
    <row r="186" spans="1:15" ht="21" customHeight="1" x14ac:dyDescent="0.7">
      <c r="A186" s="112">
        <f t="shared" si="3"/>
        <v>181</v>
      </c>
      <c r="I186" s="273"/>
      <c r="J186" s="272"/>
      <c r="K186" s="272"/>
      <c r="L186" s="269"/>
      <c r="M186" s="269"/>
      <c r="N186" s="269"/>
      <c r="O186" s="269"/>
    </row>
    <row r="187" spans="1:15" ht="21" customHeight="1" x14ac:dyDescent="0.7">
      <c r="A187" s="112">
        <f t="shared" si="3"/>
        <v>182</v>
      </c>
      <c r="I187" s="273"/>
      <c r="J187" s="272"/>
      <c r="K187" s="272"/>
      <c r="L187" s="269"/>
      <c r="M187" s="269"/>
      <c r="N187" s="269"/>
      <c r="O187" s="269"/>
    </row>
    <row r="188" spans="1:15" ht="21" customHeight="1" x14ac:dyDescent="0.7">
      <c r="A188" s="112">
        <f t="shared" si="3"/>
        <v>183</v>
      </c>
      <c r="I188" s="273"/>
      <c r="J188" s="272"/>
      <c r="K188" s="272"/>
      <c r="L188" s="269"/>
      <c r="M188" s="269"/>
      <c r="N188" s="269"/>
      <c r="O188" s="269"/>
    </row>
    <row r="189" spans="1:15" ht="21" customHeight="1" x14ac:dyDescent="0.7">
      <c r="A189" s="112">
        <f t="shared" si="3"/>
        <v>184</v>
      </c>
      <c r="I189" s="273"/>
      <c r="J189" s="272"/>
      <c r="K189" s="272"/>
      <c r="L189" s="269"/>
      <c r="M189" s="269"/>
      <c r="N189" s="269"/>
      <c r="O189" s="269"/>
    </row>
    <row r="190" spans="1:15" ht="21" customHeight="1" x14ac:dyDescent="0.7">
      <c r="A190" s="112">
        <f t="shared" si="3"/>
        <v>185</v>
      </c>
      <c r="I190" s="273"/>
      <c r="J190" s="272"/>
      <c r="K190" s="272"/>
      <c r="L190" s="269"/>
      <c r="M190" s="269"/>
      <c r="N190" s="269"/>
      <c r="O190" s="269"/>
    </row>
    <row r="191" spans="1:15" ht="21" customHeight="1" x14ac:dyDescent="0.7">
      <c r="A191" s="112">
        <f t="shared" si="3"/>
        <v>186</v>
      </c>
      <c r="I191" s="273"/>
      <c r="J191" s="272"/>
      <c r="K191" s="272"/>
      <c r="L191" s="269"/>
      <c r="M191" s="269"/>
      <c r="N191" s="269"/>
      <c r="O191" s="269"/>
    </row>
    <row r="192" spans="1:15" ht="21" customHeight="1" x14ac:dyDescent="0.7">
      <c r="A192" s="112">
        <f t="shared" si="3"/>
        <v>187</v>
      </c>
      <c r="I192" s="273"/>
      <c r="J192" s="272"/>
      <c r="K192" s="272"/>
      <c r="L192" s="269"/>
      <c r="M192" s="269"/>
      <c r="N192" s="269"/>
      <c r="O192" s="269"/>
    </row>
    <row r="193" spans="1:15" ht="21" customHeight="1" x14ac:dyDescent="0.7">
      <c r="A193" s="112">
        <f t="shared" si="3"/>
        <v>188</v>
      </c>
      <c r="I193" s="273"/>
      <c r="J193" s="272"/>
      <c r="K193" s="272"/>
      <c r="L193" s="269"/>
      <c r="M193" s="269"/>
      <c r="N193" s="269"/>
      <c r="O193" s="269"/>
    </row>
    <row r="194" spans="1:15" ht="21" customHeight="1" x14ac:dyDescent="0.7">
      <c r="A194" s="112">
        <f t="shared" si="3"/>
        <v>189</v>
      </c>
      <c r="I194" s="273"/>
      <c r="J194" s="272"/>
      <c r="K194" s="272"/>
      <c r="L194" s="269"/>
      <c r="M194" s="269"/>
      <c r="N194" s="269"/>
      <c r="O194" s="269"/>
    </row>
    <row r="195" spans="1:15" ht="21" customHeight="1" x14ac:dyDescent="0.7">
      <c r="A195" s="112">
        <f t="shared" si="3"/>
        <v>190</v>
      </c>
      <c r="I195" s="273"/>
      <c r="J195" s="272"/>
      <c r="K195" s="272"/>
      <c r="L195" s="269"/>
      <c r="M195" s="269"/>
      <c r="N195" s="269"/>
      <c r="O195" s="269"/>
    </row>
    <row r="196" spans="1:15" ht="21" customHeight="1" x14ac:dyDescent="0.7">
      <c r="A196" s="112">
        <f t="shared" si="3"/>
        <v>191</v>
      </c>
      <c r="I196" s="273"/>
      <c r="J196" s="272"/>
      <c r="K196" s="272"/>
      <c r="L196" s="269"/>
      <c r="M196" s="269"/>
      <c r="N196" s="269"/>
      <c r="O196" s="269"/>
    </row>
    <row r="197" spans="1:15" ht="21" customHeight="1" x14ac:dyDescent="0.7">
      <c r="A197" s="112">
        <f t="shared" si="3"/>
        <v>192</v>
      </c>
      <c r="I197" s="273"/>
      <c r="J197" s="272"/>
      <c r="K197" s="272"/>
      <c r="L197" s="269"/>
      <c r="M197" s="269"/>
      <c r="N197" s="269"/>
      <c r="O197" s="269"/>
    </row>
    <row r="198" spans="1:15" ht="21" customHeight="1" x14ac:dyDescent="0.7">
      <c r="A198" s="112">
        <f t="shared" si="3"/>
        <v>193</v>
      </c>
      <c r="I198" s="273"/>
      <c r="J198" s="272"/>
      <c r="K198" s="272"/>
      <c r="L198" s="269"/>
      <c r="M198" s="269"/>
      <c r="N198" s="269"/>
      <c r="O198" s="269"/>
    </row>
    <row r="199" spans="1:15" ht="21" customHeight="1" x14ac:dyDescent="0.7">
      <c r="A199" s="112">
        <f t="shared" ref="A199:A205" si="4">ROW()-5</f>
        <v>194</v>
      </c>
      <c r="I199" s="273"/>
      <c r="J199" s="272"/>
      <c r="K199" s="272"/>
      <c r="L199" s="269"/>
      <c r="M199" s="269"/>
      <c r="N199" s="269"/>
      <c r="O199" s="269"/>
    </row>
    <row r="200" spans="1:15" ht="21" customHeight="1" x14ac:dyDescent="0.7">
      <c r="A200" s="112">
        <f t="shared" si="4"/>
        <v>195</v>
      </c>
      <c r="I200" s="273"/>
      <c r="J200" s="272"/>
      <c r="K200" s="272"/>
      <c r="L200" s="269"/>
      <c r="M200" s="269"/>
      <c r="N200" s="269"/>
      <c r="O200" s="269"/>
    </row>
    <row r="201" spans="1:15" ht="21" customHeight="1" x14ac:dyDescent="0.7">
      <c r="A201" s="112">
        <f t="shared" si="4"/>
        <v>196</v>
      </c>
      <c r="I201" s="273"/>
      <c r="J201" s="272"/>
      <c r="K201" s="272"/>
      <c r="L201" s="269"/>
      <c r="M201" s="269"/>
      <c r="N201" s="269"/>
      <c r="O201" s="269"/>
    </row>
    <row r="202" spans="1:15" ht="21" customHeight="1" x14ac:dyDescent="0.7">
      <c r="A202" s="112">
        <f t="shared" si="4"/>
        <v>197</v>
      </c>
      <c r="I202" s="273"/>
      <c r="J202" s="272"/>
      <c r="K202" s="272"/>
      <c r="L202" s="269"/>
      <c r="M202" s="269"/>
      <c r="N202" s="269"/>
      <c r="O202" s="269"/>
    </row>
    <row r="203" spans="1:15" ht="21" customHeight="1" x14ac:dyDescent="0.7">
      <c r="A203" s="112">
        <f t="shared" si="4"/>
        <v>198</v>
      </c>
      <c r="I203" s="273"/>
      <c r="J203" s="272"/>
      <c r="K203" s="272"/>
      <c r="L203" s="269"/>
      <c r="M203" s="269"/>
      <c r="N203" s="269"/>
      <c r="O203" s="269"/>
    </row>
    <row r="204" spans="1:15" ht="21" customHeight="1" x14ac:dyDescent="0.7">
      <c r="A204" s="112">
        <f t="shared" si="4"/>
        <v>199</v>
      </c>
      <c r="I204" s="273"/>
      <c r="J204" s="272"/>
      <c r="K204" s="272"/>
      <c r="L204" s="269"/>
      <c r="M204" s="269"/>
      <c r="N204" s="269"/>
      <c r="O204" s="269"/>
    </row>
    <row r="205" spans="1:15" ht="21" customHeight="1" x14ac:dyDescent="0.7">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39" priority="55"/>
  </conditionalFormatting>
  <conditionalFormatting sqref="E6:E21 E23:E105">
    <cfRule type="duplicateValues" dxfId="38" priority="54"/>
  </conditionalFormatting>
  <conditionalFormatting sqref="D6:D20 D22:D105 E22">
    <cfRule type="duplicateValues" dxfId="37" priority="51"/>
  </conditionalFormatting>
  <conditionalFormatting sqref="C6:C105">
    <cfRule type="duplicateValues" dxfId="36" priority="50"/>
  </conditionalFormatting>
  <conditionalFormatting sqref="B6:B105">
    <cfRule type="duplicateValues" dxfId="35" priority="49"/>
  </conditionalFormatting>
  <conditionalFormatting sqref="K6:K205">
    <cfRule type="duplicateValues" dxfId="34" priority="311"/>
  </conditionalFormatting>
  <conditionalFormatting sqref="J6:J205">
    <cfRule type="duplicateValues" dxfId="33" priority="32"/>
  </conditionalFormatting>
  <conditionalFormatting sqref="I6:I205">
    <cfRule type="duplicateValues" dxfId="32"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5234375" defaultRowHeight="21" x14ac:dyDescent="0.7"/>
  <cols>
    <col min="1" max="1" width="9.15234375" style="9"/>
    <col min="2" max="81" width="9.15234375" style="278"/>
    <col min="82" max="16384" width="9.15234375" style="9"/>
  </cols>
  <sheetData>
    <row r="1" s="9" customFormat="1" x14ac:dyDescent="0.7"/>
    <row r="2" s="9" customFormat="1" x14ac:dyDescent="0.7"/>
    <row r="3" s="9" customFormat="1" x14ac:dyDescent="0.7"/>
    <row r="4" s="9" customFormat="1" x14ac:dyDescent="0.7"/>
    <row r="5" s="9" customFormat="1" x14ac:dyDescent="0.7"/>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 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2025-05-23T09:14:49Z</dcterms:modified>
  <cp:category/>
  <cp:contentStatus/>
</cp:coreProperties>
</file>